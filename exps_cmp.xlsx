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380" activeTab="1"/>
  </bookViews>
  <sheets>
    <sheet name="Pi-Long KITTI" sheetId="6" r:id="rId1"/>
    <sheet name="Pi-Long Mem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<sst xmlns="http://schemas.openxmlformats.org/spreadsheetml/2006/main" count="349" uniqueCount="39">
  <si>
    <t>Method</t>
  </si>
  <si>
    <t>Basemodel</t>
  </si>
  <si>
    <t xml:space="preserve">Alignment </t>
  </si>
  <si>
    <t>Chunk Size</t>
  </si>
  <si>
    <t>Resolution</t>
  </si>
  <si>
    <t>AVG</t>
  </si>
  <si>
    <t>AVG (w/o 01)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</si>
  <si>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</si>
  <si>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</si>
  <si>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</si>
  <si>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</si>
  <si>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</si>
  <si>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</si>
  <si>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</si>
  <si>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</si>
  <si>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</si>
  <si>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</si>
  <si>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Num. of Frames</t>
  </si>
  <si>
    <t>-</t>
  </si>
  <si>
    <t>Seq Length (m)</t>
  </si>
  <si>
    <t>Seq. Speed (m/frame)</t>
  </si>
  <si>
    <t>Contains Loop?</t>
  </si>
  <si>
    <t>Yes</t>
  </si>
  <si>
    <t>No</t>
  </si>
  <si>
    <t>VGGT-Long</t>
  </si>
  <si>
    <t>VGGT</t>
  </si>
  <si>
    <t>Sim(3)</t>
  </si>
  <si>
    <t>(518x154)</t>
  </si>
  <si>
    <t>Pi-Long</t>
  </si>
  <si>
    <t>Pi3</t>
  </si>
  <si>
    <t>(504x154)</t>
  </si>
  <si>
    <t>Pi3X-Long</t>
  </si>
  <si>
    <t>Pi3X</t>
  </si>
  <si>
    <t>SE(3)</t>
  </si>
  <si>
    <t>(924x266)</t>
  </si>
  <si>
    <t>Unit: GB</t>
  </si>
  <si>
    <t>Settings</t>
  </si>
  <si>
    <t>Peak Allocated</t>
  </si>
  <si>
    <t>Peak Reserved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</si>
</sst>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00_);[Red]\(0.0000\)"/>
  </numFmts>
  <fonts count="26">
    <font>
      <sz val="11"/>
      <color theme="1"/>
      <name val="宋体"/>
      <charset val="134"/>
      <scheme val="minor"/>
    </font>
    <font>
      <sz val="10"/>
      <color theme="1"/>
      <name val="Times New Roman Regular"/>
      <charset val="134"/>
    </font>
    <font>
      <sz val="11"/>
      <color theme="1"/>
      <name val="Times New Roman Regular"/>
      <charset val="134"/>
    </font>
    <font>
      <i/>
      <sz val="11"/>
      <color theme="0" tint="-0.5"/>
      <name val="Times New Roman Regular"/>
      <charset val="134"/>
    </font>
    <font>
      <sz val="11"/>
      <name val="Times New Roman Regular"/>
      <charset val="134"/>
    </font>
    <font>
      <sz val="11"/>
      <color theme="4" tint="-0.5"/>
      <name val="Times New Roman Regular"/>
      <charset val="134"/>
    </font>
    <font>
      <sz val="11"/>
      <color theme="7" tint="-0.25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7F0E3"/>
        <bgColor indexed="64"/>
      </patternFill>
    </fill>
    <fill>
      <patternFill patternType="solid">
        <fgColor rgb="FFE0F7F3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FAFDF8"/>
        <bgColor indexed="64"/>
      </patternFill>
    </fill>
    <fill>
      <patternFill patternType="solid">
        <fgColor rgb="FFF8F9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rgb="FF9A9A9A"/>
      </right>
      <top style="medium">
        <color auto="1"/>
      </top>
      <bottom style="thin">
        <color auto="1"/>
      </bottom>
      <diagonal/>
    </border>
    <border>
      <left/>
      <right style="thin">
        <color rgb="FF9A9A9A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rgb="FF9A9A9A"/>
      </right>
      <top/>
      <bottom/>
      <diagonal/>
    </border>
    <border>
      <left/>
      <right style="thin">
        <color rgb="FF9A9A9A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rgb="FF9A9A9A"/>
      </right>
      <top style="thin">
        <color auto="1"/>
      </top>
      <bottom/>
      <diagonal/>
    </border>
    <border>
      <left/>
      <right style="thin">
        <color rgb="FF9A9A9A"/>
      </right>
      <top style="thin">
        <color auto="1"/>
      </top>
      <bottom/>
      <diagonal/>
    </border>
    <border>
      <left/>
      <right/>
      <top/>
      <bottom style="thin">
        <color rgb="FF9A9A9A"/>
      </bottom>
      <diagonal/>
    </border>
    <border>
      <left style="thin">
        <color auto="1"/>
      </left>
      <right/>
      <top/>
      <bottom style="thin">
        <color rgb="FF9A9A9A"/>
      </bottom>
      <diagonal/>
    </border>
    <border>
      <left style="thin">
        <color auto="1"/>
      </left>
      <right style="thin">
        <color rgb="FF9A9A9A"/>
      </right>
      <top/>
      <bottom style="thin">
        <color rgb="FF9A9A9A"/>
      </bottom>
      <diagonal/>
    </border>
    <border>
      <left/>
      <right style="thin">
        <color rgb="FF9A9A9A"/>
      </right>
      <top/>
      <bottom style="thin">
        <color rgb="FF9A9A9A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rgb="FF9A9A9A"/>
      </right>
      <top/>
      <bottom style="medium">
        <color auto="1"/>
      </bottom>
      <diagonal/>
    </border>
    <border>
      <left/>
      <right style="thin">
        <color rgb="FF9A9A9A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rgb="FF9A9A9A"/>
      </bottom>
      <diagonal/>
    </border>
    <border>
      <left style="thin">
        <color rgb="FF9A9A9A"/>
      </left>
      <right/>
      <top style="medium">
        <color auto="1"/>
      </top>
      <bottom style="thin">
        <color rgb="FF9A9A9A"/>
      </bottom>
      <diagonal/>
    </border>
    <border>
      <left style="thin">
        <color rgb="FF9A9A9A"/>
      </left>
      <right style="thin">
        <color rgb="FF9A9A9A"/>
      </right>
      <top style="medium">
        <color auto="1"/>
      </top>
      <bottom style="thin">
        <color rgb="FF9A9A9A"/>
      </bottom>
      <diagonal/>
    </border>
    <border>
      <left/>
      <right style="thin">
        <color rgb="FF9A9A9A"/>
      </right>
      <top style="medium">
        <color auto="1"/>
      </top>
      <bottom style="thin">
        <color rgb="FF9A9A9A"/>
      </bottom>
      <diagonal/>
    </border>
    <border>
      <left style="thin">
        <color rgb="FF9A9A9A"/>
      </left>
      <right/>
      <top/>
      <bottom/>
      <diagonal/>
    </border>
    <border>
      <left style="thin">
        <color rgb="FF9A9A9A"/>
      </left>
      <right style="thin">
        <color rgb="FF9A9A9A"/>
      </right>
      <top/>
      <bottom/>
      <diagonal/>
    </border>
    <border>
      <left style="thin">
        <color rgb="FF9A9A9A"/>
      </left>
      <right/>
      <top/>
      <bottom style="thin">
        <color rgb="FF9A9A9A"/>
      </bottom>
      <diagonal/>
    </border>
    <border>
      <left style="thin">
        <color rgb="FF9A9A9A"/>
      </left>
      <right style="thin">
        <color rgb="FF9A9A9A"/>
      </right>
      <top/>
      <bottom style="thin">
        <color rgb="FF9A9A9A"/>
      </bottom>
      <diagonal/>
    </border>
    <border>
      <left style="thin">
        <color rgb="FF9A9A9A"/>
      </left>
      <right/>
      <top/>
      <bottom style="medium">
        <color auto="1"/>
      </bottom>
      <diagonal/>
    </border>
    <border>
      <left style="thin">
        <color rgb="FF9A9A9A"/>
      </left>
      <right style="thin">
        <color rgb="FF9A9A9A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4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4" applyNumberFormat="0" applyFill="0" applyAlignment="0" applyProtection="0">
      <alignment vertical="center"/>
    </xf>
    <xf numFmtId="0" fontId="13" fillId="0" borderId="44" applyNumberFormat="0" applyFill="0" applyAlignment="0" applyProtection="0">
      <alignment vertical="center"/>
    </xf>
    <xf numFmtId="0" fontId="14" fillId="0" borderId="4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46" applyNumberFormat="0" applyAlignment="0" applyProtection="0">
      <alignment vertical="center"/>
    </xf>
    <xf numFmtId="0" fontId="16" fillId="11" borderId="47" applyNumberFormat="0" applyAlignment="0" applyProtection="0">
      <alignment vertical="center"/>
    </xf>
    <xf numFmtId="0" fontId="17" fillId="11" borderId="46" applyNumberFormat="0" applyAlignment="0" applyProtection="0">
      <alignment vertical="center"/>
    </xf>
    <xf numFmtId="0" fontId="18" fillId="12" borderId="48" applyNumberFormat="0" applyAlignment="0" applyProtection="0">
      <alignment vertical="center"/>
    </xf>
    <xf numFmtId="0" fontId="19" fillId="0" borderId="49" applyNumberFormat="0" applyFill="0" applyAlignment="0" applyProtection="0">
      <alignment vertical="center"/>
    </xf>
    <xf numFmtId="0" fontId="20" fillId="0" borderId="50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3" fillId="2" borderId="0" xfId="0" applyFont="1" applyFill="1" applyBorder="1" applyAlignment="1">
      <alignment horizontal="center"/>
    </xf>
    <xf numFmtId="0" fontId="3" fillId="2" borderId="32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" borderId="34" xfId="0" applyFont="1" applyFill="1" applyBorder="1" applyAlignment="1">
      <alignment horizontal="center"/>
    </xf>
    <xf numFmtId="0" fontId="3" fillId="2" borderId="35" xfId="0" applyFont="1" applyFill="1" applyBorder="1" applyAlignment="1">
      <alignment horizontal="center"/>
    </xf>
    <xf numFmtId="0" fontId="3" fillId="2" borderId="36" xfId="0" applyFont="1" applyFill="1" applyBorder="1" applyAlignment="1">
      <alignment horizontal="center"/>
    </xf>
    <xf numFmtId="0" fontId="3" fillId="2" borderId="37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6" fontId="2" fillId="0" borderId="33" xfId="0" applyNumberFormat="1" applyFont="1" applyBorder="1" applyAlignment="1">
      <alignment horizontal="center" vertical="center"/>
    </xf>
    <xf numFmtId="177" fontId="4" fillId="0" borderId="0" xfId="0" applyNumberFormat="1" applyFont="1" applyBorder="1" applyAlignment="1">
      <alignment horizontal="center" vertical="center"/>
    </xf>
    <xf numFmtId="176" fontId="4" fillId="0" borderId="0" xfId="0" applyNumberFormat="1" applyFont="1" applyBorder="1" applyAlignment="1">
      <alignment horizontal="center" vertical="center"/>
    </xf>
    <xf numFmtId="176" fontId="4" fillId="3" borderId="0" xfId="0" applyNumberFormat="1" applyFont="1" applyFill="1" applyBorder="1" applyAlignment="1">
      <alignment horizontal="center" vertical="center"/>
    </xf>
    <xf numFmtId="177" fontId="4" fillId="4" borderId="0" xfId="0" applyNumberFormat="1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176" fontId="2" fillId="0" borderId="36" xfId="0" applyNumberFormat="1" applyFont="1" applyBorder="1" applyAlignment="1">
      <alignment horizontal="center" vertical="center"/>
    </xf>
    <xf numFmtId="176" fontId="2" fillId="0" borderId="37" xfId="0" applyNumberFormat="1" applyFont="1" applyBorder="1" applyAlignment="1">
      <alignment horizontal="center" vertical="center"/>
    </xf>
    <xf numFmtId="177" fontId="4" fillId="0" borderId="34" xfId="0" applyNumberFormat="1" applyFont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/>
    </xf>
    <xf numFmtId="176" fontId="2" fillId="5" borderId="0" xfId="0" applyNumberFormat="1" applyFont="1" applyFill="1" applyBorder="1" applyAlignment="1">
      <alignment horizontal="center" vertical="center"/>
    </xf>
    <xf numFmtId="176" fontId="2" fillId="4" borderId="0" xfId="0" applyNumberFormat="1" applyFont="1" applyFill="1" applyBorder="1" applyAlignment="1">
      <alignment horizontal="center" vertical="center"/>
    </xf>
    <xf numFmtId="176" fontId="2" fillId="3" borderId="0" xfId="0" applyNumberFormat="1" applyFont="1" applyFill="1" applyBorder="1" applyAlignment="1">
      <alignment horizontal="center" vertical="center"/>
    </xf>
    <xf numFmtId="176" fontId="2" fillId="4" borderId="33" xfId="0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176" fontId="2" fillId="5" borderId="9" xfId="0" applyNumberFormat="1" applyFont="1" applyFill="1" applyBorder="1" applyAlignment="1">
      <alignment horizontal="center" vertical="center"/>
    </xf>
    <xf numFmtId="176" fontId="2" fillId="0" borderId="39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2" fillId="3" borderId="8" xfId="0" applyNumberFormat="1" applyFont="1" applyFill="1" applyBorder="1" applyAlignment="1">
      <alignment horizontal="center" vertical="center"/>
    </xf>
    <xf numFmtId="176" fontId="2" fillId="5" borderId="8" xfId="0" applyNumberFormat="1" applyFont="1" applyFill="1" applyBorder="1" applyAlignment="1">
      <alignment horizontal="center" vertical="center"/>
    </xf>
    <xf numFmtId="176" fontId="2" fillId="4" borderId="8" xfId="0" applyNumberFormat="1" applyFont="1" applyFill="1" applyBorder="1" applyAlignment="1">
      <alignment horizontal="center" vertical="center"/>
    </xf>
    <xf numFmtId="176" fontId="2" fillId="4" borderId="5" xfId="0" applyNumberFormat="1" applyFont="1" applyFill="1" applyBorder="1" applyAlignment="1">
      <alignment horizontal="center" vertical="center"/>
    </xf>
    <xf numFmtId="176" fontId="2" fillId="5" borderId="33" xfId="0" applyNumberFormat="1" applyFont="1" applyFill="1" applyBorder="1" applyAlignment="1">
      <alignment horizontal="center" vertical="center"/>
    </xf>
    <xf numFmtId="176" fontId="2" fillId="3" borderId="5" xfId="0" applyNumberFormat="1" applyFont="1" applyFill="1" applyBorder="1" applyAlignment="1">
      <alignment horizontal="center" vertical="center"/>
    </xf>
    <xf numFmtId="176" fontId="2" fillId="3" borderId="33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176" fontId="2" fillId="0" borderId="17" xfId="0" applyNumberFormat="1" applyFont="1" applyBorder="1" applyAlignment="1">
      <alignment horizontal="center" vertical="center"/>
    </xf>
    <xf numFmtId="176" fontId="2" fillId="0" borderId="41" xfId="0" applyNumberFormat="1" applyFont="1" applyBorder="1" applyAlignment="1">
      <alignment horizontal="center" vertical="center"/>
    </xf>
    <xf numFmtId="176" fontId="2" fillId="0" borderId="16" xfId="0" applyNumberFormat="1" applyFont="1" applyBorder="1" applyAlignment="1">
      <alignment horizontal="center" vertical="center"/>
    </xf>
    <xf numFmtId="176" fontId="2" fillId="3" borderId="16" xfId="0" applyNumberFormat="1" applyFont="1" applyFill="1" applyBorder="1" applyAlignment="1">
      <alignment horizontal="center" vertical="center"/>
    </xf>
    <xf numFmtId="176" fontId="2" fillId="4" borderId="16" xfId="0" applyNumberFormat="1" applyFont="1" applyFill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0" xfId="0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/>
    </xf>
    <xf numFmtId="0" fontId="2" fillId="6" borderId="1" xfId="0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32" xfId="0" applyFont="1" applyFill="1" applyBorder="1" applyAlignment="1">
      <alignment horizontal="center"/>
    </xf>
    <xf numFmtId="0" fontId="3" fillId="6" borderId="33" xfId="0" applyFont="1" applyFill="1" applyBorder="1" applyAlignment="1">
      <alignment horizontal="center"/>
    </xf>
    <xf numFmtId="0" fontId="3" fillId="6" borderId="37" xfId="0" applyFont="1" applyFill="1" applyBorder="1" applyAlignment="1">
      <alignment horizontal="center"/>
    </xf>
    <xf numFmtId="0" fontId="3" fillId="6" borderId="34" xfId="0" applyFont="1" applyFill="1" applyBorder="1" applyAlignment="1">
      <alignment horizontal="center"/>
    </xf>
    <xf numFmtId="0" fontId="3" fillId="6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 vertical="center"/>
    </xf>
    <xf numFmtId="0" fontId="5" fillId="7" borderId="0" xfId="0" applyFont="1" applyFill="1" applyBorder="1" applyAlignment="1">
      <alignment horizontal="center" vertical="center"/>
    </xf>
    <xf numFmtId="0" fontId="5" fillId="7" borderId="32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6" fillId="7" borderId="32" xfId="0" applyFont="1" applyFill="1" applyBorder="1" applyAlignment="1">
      <alignment horizontal="center" vertical="center"/>
    </xf>
    <xf numFmtId="176" fontId="2" fillId="7" borderId="0" xfId="0" applyNumberFormat="1" applyFont="1" applyFill="1" applyBorder="1" applyAlignment="1">
      <alignment horizontal="center" vertical="center"/>
    </xf>
    <xf numFmtId="176" fontId="2" fillId="7" borderId="33" xfId="0" applyNumberFormat="1" applyFont="1" applyFill="1" applyBorder="1" applyAlignment="1">
      <alignment horizontal="center" vertical="center"/>
    </xf>
    <xf numFmtId="0" fontId="2" fillId="7" borderId="34" xfId="0" applyFont="1" applyFill="1" applyBorder="1" applyAlignment="1">
      <alignment horizontal="center" vertical="center"/>
    </xf>
    <xf numFmtId="0" fontId="5" fillId="7" borderId="36" xfId="0" applyFont="1" applyFill="1" applyBorder="1" applyAlignment="1">
      <alignment horizontal="center" vertical="center"/>
    </xf>
    <xf numFmtId="0" fontId="5" fillId="7" borderId="35" xfId="0" applyFont="1" applyFill="1" applyBorder="1" applyAlignment="1">
      <alignment horizontal="center" vertical="center"/>
    </xf>
    <xf numFmtId="0" fontId="6" fillId="7" borderId="35" xfId="0" applyFont="1" applyFill="1" applyBorder="1" applyAlignment="1">
      <alignment horizontal="center" vertical="center"/>
    </xf>
    <xf numFmtId="176" fontId="2" fillId="7" borderId="34" xfId="0" applyNumberFormat="1" applyFont="1" applyFill="1" applyBorder="1" applyAlignment="1">
      <alignment horizontal="center" vertical="center"/>
    </xf>
    <xf numFmtId="176" fontId="2" fillId="7" borderId="37" xfId="0" applyNumberFormat="1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5" fillId="8" borderId="38" xfId="0" applyFont="1" applyFill="1" applyBorder="1" applyAlignment="1">
      <alignment horizontal="center" vertical="center"/>
    </xf>
    <xf numFmtId="176" fontId="2" fillId="8" borderId="8" xfId="0" applyNumberFormat="1" applyFont="1" applyFill="1" applyBorder="1" applyAlignment="1">
      <alignment horizontal="center" vertical="center"/>
    </xf>
    <xf numFmtId="176" fontId="2" fillId="8" borderId="39" xfId="0" applyNumberFormat="1" applyFont="1" applyFill="1" applyBorder="1" applyAlignment="1">
      <alignment horizontal="center" vertical="center"/>
    </xf>
    <xf numFmtId="0" fontId="2" fillId="8" borderId="0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8" borderId="32" xfId="0" applyFont="1" applyFill="1" applyBorder="1" applyAlignment="1">
      <alignment horizontal="center" vertical="center"/>
    </xf>
    <xf numFmtId="176" fontId="2" fillId="8" borderId="0" xfId="0" applyNumberFormat="1" applyFont="1" applyFill="1" applyBorder="1" applyAlignment="1">
      <alignment horizontal="center" vertical="center"/>
    </xf>
    <xf numFmtId="176" fontId="2" fillId="8" borderId="33" xfId="0" applyNumberFormat="1" applyFont="1" applyFill="1" applyBorder="1" applyAlignment="1">
      <alignment horizontal="center" vertical="center"/>
    </xf>
    <xf numFmtId="0" fontId="2" fillId="8" borderId="34" xfId="0" applyFont="1" applyFill="1" applyBorder="1" applyAlignment="1">
      <alignment horizontal="center" vertical="center"/>
    </xf>
    <xf numFmtId="0" fontId="5" fillId="8" borderId="36" xfId="0" applyFont="1" applyFill="1" applyBorder="1" applyAlignment="1">
      <alignment horizontal="center" vertical="center"/>
    </xf>
    <xf numFmtId="0" fontId="5" fillId="8" borderId="35" xfId="0" applyFont="1" applyFill="1" applyBorder="1" applyAlignment="1">
      <alignment horizontal="center" vertical="center"/>
    </xf>
    <xf numFmtId="176" fontId="2" fillId="8" borderId="34" xfId="0" applyNumberFormat="1" applyFont="1" applyFill="1" applyBorder="1" applyAlignment="1">
      <alignment horizontal="center" vertical="center"/>
    </xf>
    <xf numFmtId="176" fontId="2" fillId="8" borderId="37" xfId="0" applyNumberFormat="1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6" fillId="8" borderId="32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5" fillId="7" borderId="38" xfId="0" applyFont="1" applyFill="1" applyBorder="1" applyAlignment="1">
      <alignment horizontal="center" vertical="center"/>
    </xf>
    <xf numFmtId="0" fontId="6" fillId="7" borderId="38" xfId="0" applyFont="1" applyFill="1" applyBorder="1" applyAlignment="1">
      <alignment horizontal="center" vertical="center"/>
    </xf>
    <xf numFmtId="176" fontId="2" fillId="7" borderId="8" xfId="0" applyNumberFormat="1" applyFont="1" applyFill="1" applyBorder="1" applyAlignment="1">
      <alignment horizontal="center" vertical="center"/>
    </xf>
    <xf numFmtId="176" fontId="2" fillId="7" borderId="39" xfId="0" applyNumberFormat="1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36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8" borderId="36" xfId="0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/>
    </xf>
    <xf numFmtId="0" fontId="6" fillId="8" borderId="40" xfId="0" applyFont="1" applyFill="1" applyBorder="1" applyAlignment="1">
      <alignment horizontal="center" vertical="center"/>
    </xf>
    <xf numFmtId="0" fontId="5" fillId="8" borderId="40" xfId="0" applyFont="1" applyFill="1" applyBorder="1" applyAlignment="1">
      <alignment horizontal="center" vertical="center"/>
    </xf>
    <xf numFmtId="176" fontId="2" fillId="8" borderId="16" xfId="0" applyNumberFormat="1" applyFont="1" applyFill="1" applyBorder="1" applyAlignment="1">
      <alignment horizontal="center" vertical="center"/>
    </xf>
    <xf numFmtId="176" fontId="2" fillId="8" borderId="4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 quotePrefix="1">
      <alignment horizontal="center" vertical="center"/>
    </xf>
    <xf numFmtId="0" fontId="2" fillId="6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5F5F5"/>
      <color rgb="00F7F0E3"/>
      <color rgb="00FAFAFA"/>
      <color rgb="00F7F7E8"/>
      <color rgb="00F5FAF1"/>
      <color rgb="00FAFDF8"/>
      <color rgb="00FBFBFB"/>
      <color rgb="00F8F9FD"/>
      <color rgb="00F2F4FF"/>
      <color rgb="00F8F9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T65"/>
  <sheetViews>
    <sheetView showGridLines="0" zoomScale="59" zoomScaleNormal="59" workbookViewId="0">
      <selection activeCell="V25" sqref="V25"/>
    </sheetView>
  </sheetViews>
  <sheetFormatPr defaultColWidth="9.23076923076923" defaultRowHeight="20" customHeight="1"/>
  <cols>
    <col min="1" max="2" width="9.23076923076923" style="33"/>
    <col min="3" max="3" width="26.8557692307692" style="33" customWidth="1"/>
    <col min="4" max="4" width="12.1538461538462" style="33" customWidth="1"/>
    <col min="5" max="5" width="12.4615384615385" style="33" customWidth="1"/>
    <col min="6" max="6" width="11.7692307692308" style="33" customWidth="1"/>
    <col min="7" max="7" width="11.2307692307692" style="33" customWidth="1"/>
    <col min="8" max="8" width="12.7211538461538" style="33" customWidth="1"/>
    <col min="9" max="9" width="13.6153846153846" style="33" customWidth="1"/>
    <col min="10" max="10" width="9.76923076923077" style="33"/>
    <col min="11" max="12" width="10.7692307692308" style="33"/>
    <col min="13" max="13" width="9.69230769230769" style="33"/>
    <col min="14" max="14" width="9.30769230769231" style="33"/>
    <col min="15" max="16" width="9.76923076923077" style="33"/>
    <col min="17" max="17" width="9.23076923076923" style="33"/>
    <col min="18" max="18" width="10.3846153846154" style="33"/>
    <col min="19" max="19" width="9.76923076923077" style="33"/>
    <col min="20" max="20" width="9.69230769230769" style="33"/>
    <col min="21" max="29" width="9.23076923076923" style="33"/>
    <col min="30" max="31" width="10.3076923076923" style="33"/>
    <col min="32" max="16384" width="9.23076923076923" style="33"/>
  </cols>
  <sheetData>
    <row r="3" ht="16.8"/>
    <row r="4" ht="17.55"/>
    <row r="5" customHeight="1" spans="3:20">
      <c r="C5" s="34" t="s">
        <v>0</v>
      </c>
      <c r="D5" s="35" t="s">
        <v>1</v>
      </c>
      <c r="E5" s="34" t="s">
        <v>2</v>
      </c>
      <c r="F5" s="35" t="s">
        <v>3</v>
      </c>
      <c r="G5" s="34" t="s">
        <v>4</v>
      </c>
      <c r="H5" s="36" t="s">
        <v>5</v>
      </c>
      <c r="I5" s="37" t="s">
        <v>6</v>
      </c>
      <c r="J5" s="143" t="s">
        <v>7</v>
      </c>
      <c r="K5" s="143" t="s">
        <v>8</v>
      </c>
      <c r="L5" s="143" t="s">
        <v>9</v>
      </c>
      <c r="M5" s="143" t="s">
        <v>10</v>
      </c>
      <c r="N5" s="143" t="s">
        <v>11</v>
      </c>
      <c r="O5" s="143" t="s">
        <v>12</v>
      </c>
      <c r="P5" s="143" t="s">
        <v>13</v>
      </c>
      <c r="Q5" s="143" t="s">
        <v>14</v>
      </c>
      <c r="R5" s="143" t="s">
        <v>15</v>
      </c>
      <c r="S5" s="143" t="s">
        <v>16</v>
      </c>
      <c r="T5" s="34">
        <v>10</v>
      </c>
    </row>
    <row r="6" customHeight="1" spans="3:20">
      <c r="C6" s="39" t="s">
        <v>17</v>
      </c>
      <c r="D6" s="40" t="s">
        <v>18</v>
      </c>
      <c r="E6" s="39" t="s">
        <v>18</v>
      </c>
      <c r="F6" s="40" t="s">
        <v>18</v>
      </c>
      <c r="G6" s="39" t="s">
        <v>18</v>
      </c>
      <c r="H6" s="41">
        <v>2109</v>
      </c>
      <c r="I6" s="42">
        <v>2210</v>
      </c>
      <c r="J6" s="39">
        <v>4542</v>
      </c>
      <c r="K6" s="39">
        <v>1101</v>
      </c>
      <c r="L6" s="39">
        <v>4661</v>
      </c>
      <c r="M6" s="39">
        <v>801</v>
      </c>
      <c r="N6" s="39">
        <v>271</v>
      </c>
      <c r="O6" s="39">
        <v>2761</v>
      </c>
      <c r="P6" s="39">
        <v>1101</v>
      </c>
      <c r="Q6" s="39">
        <v>1101</v>
      </c>
      <c r="R6" s="39">
        <v>4071</v>
      </c>
      <c r="S6" s="39">
        <v>1591</v>
      </c>
      <c r="T6" s="39">
        <v>1201</v>
      </c>
    </row>
    <row r="7" customHeight="1" spans="3:20">
      <c r="C7" s="39" t="s">
        <v>19</v>
      </c>
      <c r="D7" s="40" t="s">
        <v>18</v>
      </c>
      <c r="E7" s="39" t="s">
        <v>18</v>
      </c>
      <c r="F7" s="40" t="s">
        <v>18</v>
      </c>
      <c r="G7" s="39" t="s">
        <v>18</v>
      </c>
      <c r="H7" s="41">
        <v>2012.243</v>
      </c>
      <c r="I7" s="42">
        <v>1968.147</v>
      </c>
      <c r="J7" s="39">
        <v>3724.19</v>
      </c>
      <c r="K7" s="39">
        <v>2453.2</v>
      </c>
      <c r="L7" s="39">
        <v>5067.23</v>
      </c>
      <c r="M7" s="39">
        <v>560.89</v>
      </c>
      <c r="N7" s="39">
        <v>393.65</v>
      </c>
      <c r="O7" s="39">
        <v>2205.58</v>
      </c>
      <c r="P7" s="39">
        <v>1232.88</v>
      </c>
      <c r="Q7" s="39">
        <v>649.7</v>
      </c>
      <c r="R7" s="39">
        <v>3222.8</v>
      </c>
      <c r="S7" s="39">
        <v>1705.05</v>
      </c>
      <c r="T7" s="39">
        <v>919.52</v>
      </c>
    </row>
    <row r="8" customHeight="1" spans="3:20">
      <c r="C8" s="39" t="s">
        <v>20</v>
      </c>
      <c r="D8" s="40" t="s">
        <v>18</v>
      </c>
      <c r="E8" s="39" t="s">
        <v>18</v>
      </c>
      <c r="F8" s="40" t="s">
        <v>18</v>
      </c>
      <c r="G8" s="39" t="s">
        <v>18</v>
      </c>
      <c r="H8" s="41">
        <v>0.95</v>
      </c>
      <c r="I8" s="42">
        <v>0.89</v>
      </c>
      <c r="J8" s="39">
        <v>0.82</v>
      </c>
      <c r="K8" s="39">
        <v>2.23</v>
      </c>
      <c r="L8" s="39">
        <v>1.09</v>
      </c>
      <c r="M8" s="39">
        <v>0.7</v>
      </c>
      <c r="N8" s="39">
        <v>1.45</v>
      </c>
      <c r="O8" s="39">
        <v>0.8</v>
      </c>
      <c r="P8" s="39">
        <v>1.12</v>
      </c>
      <c r="Q8" s="39">
        <v>0.59</v>
      </c>
      <c r="R8" s="39">
        <v>0.79</v>
      </c>
      <c r="S8" s="39">
        <v>1.07</v>
      </c>
      <c r="T8" s="39">
        <v>0.77</v>
      </c>
    </row>
    <row r="9" customHeight="1" spans="3:20">
      <c r="C9" s="43" t="s">
        <v>21</v>
      </c>
      <c r="D9" s="44" t="s">
        <v>18</v>
      </c>
      <c r="E9" s="43" t="s">
        <v>18</v>
      </c>
      <c r="F9" s="44" t="s">
        <v>18</v>
      </c>
      <c r="G9" s="43" t="s">
        <v>18</v>
      </c>
      <c r="H9" s="45" t="s">
        <v>18</v>
      </c>
      <c r="I9" s="46" t="s">
        <v>18</v>
      </c>
      <c r="J9" s="43" t="s">
        <v>22</v>
      </c>
      <c r="K9" s="43" t="s">
        <v>23</v>
      </c>
      <c r="L9" s="43" t="s">
        <v>22</v>
      </c>
      <c r="M9" s="43" t="s">
        <v>23</v>
      </c>
      <c r="N9" s="43" t="s">
        <v>23</v>
      </c>
      <c r="O9" s="43" t="s">
        <v>22</v>
      </c>
      <c r="P9" s="43" t="s">
        <v>22</v>
      </c>
      <c r="Q9" s="43" t="s">
        <v>22</v>
      </c>
      <c r="R9" s="43" t="s">
        <v>23</v>
      </c>
      <c r="S9" s="43" t="s">
        <v>22</v>
      </c>
      <c r="T9" s="43" t="s">
        <v>23</v>
      </c>
    </row>
    <row r="10" customHeight="1" spans="3:20">
      <c r="C10" s="33" t="s">
        <v>24</v>
      </c>
      <c r="D10" s="47" t="s">
        <v>25</v>
      </c>
      <c r="E10" s="33" t="s">
        <v>26</v>
      </c>
      <c r="F10" s="47">
        <v>30</v>
      </c>
      <c r="G10" s="33" t="s">
        <v>27</v>
      </c>
      <c r="H10" s="48">
        <f t="shared" ref="H10:H21" si="0">AVERAGE(J10:T10)</f>
        <v>44.7128090909091</v>
      </c>
      <c r="I10" s="49">
        <f t="shared" ref="I10:I21" si="1">AVERAGE(J10,L10:T10)</f>
        <v>39.56417</v>
      </c>
      <c r="J10" s="50">
        <v>9.0588</v>
      </c>
      <c r="K10" s="50">
        <v>96.1992</v>
      </c>
      <c r="L10" s="50">
        <v>99.9541</v>
      </c>
      <c r="M10" s="50">
        <v>19.7591</v>
      </c>
      <c r="N10" s="50">
        <v>11.3589</v>
      </c>
      <c r="O10" s="50">
        <v>10.2032</v>
      </c>
      <c r="P10" s="50">
        <v>10.0439</v>
      </c>
      <c r="Q10" s="50">
        <v>4.0042</v>
      </c>
      <c r="R10" s="50">
        <v>139.7916</v>
      </c>
      <c r="S10" s="50">
        <v>50.53</v>
      </c>
      <c r="T10" s="50">
        <v>40.9379</v>
      </c>
    </row>
    <row r="11" customHeight="1" spans="3:20">
      <c r="C11" s="33" t="s">
        <v>24</v>
      </c>
      <c r="D11" s="47" t="s">
        <v>25</v>
      </c>
      <c r="E11" s="33" t="s">
        <v>26</v>
      </c>
      <c r="F11" s="47">
        <v>60</v>
      </c>
      <c r="G11" s="33" t="s">
        <v>27</v>
      </c>
      <c r="H11" s="48">
        <f t="shared" si="0"/>
        <v>26.3582540727273</v>
      </c>
      <c r="I11" s="49">
        <f t="shared" si="1"/>
        <v>19.29830508</v>
      </c>
      <c r="J11" s="51">
        <v>8.0579588</v>
      </c>
      <c r="K11" s="51">
        <v>96.957744</v>
      </c>
      <c r="L11" s="52">
        <v>34.154554</v>
      </c>
      <c r="M11" s="51">
        <v>6.832906</v>
      </c>
      <c r="N11" s="51">
        <v>4.162644</v>
      </c>
      <c r="O11" s="51">
        <v>9.152688</v>
      </c>
      <c r="P11" s="51">
        <v>4.6838</v>
      </c>
      <c r="Q11" s="52">
        <v>2.6775</v>
      </c>
      <c r="R11" s="51">
        <v>63.1518</v>
      </c>
      <c r="S11" s="51">
        <v>32.2442</v>
      </c>
      <c r="T11" s="51">
        <v>27.865</v>
      </c>
    </row>
    <row r="12" customHeight="1" spans="3:20">
      <c r="C12" s="33" t="s">
        <v>24</v>
      </c>
      <c r="D12" s="47" t="s">
        <v>25</v>
      </c>
      <c r="E12" s="33" t="s">
        <v>26</v>
      </c>
      <c r="F12" s="47">
        <v>90</v>
      </c>
      <c r="G12" s="33" t="s">
        <v>27</v>
      </c>
      <c r="H12" s="48">
        <f t="shared" si="0"/>
        <v>22.7175363636364</v>
      </c>
      <c r="I12" s="49">
        <f t="shared" si="1"/>
        <v>20.93794</v>
      </c>
      <c r="J12" s="50">
        <v>11.9701</v>
      </c>
      <c r="K12" s="53">
        <v>40.5135</v>
      </c>
      <c r="L12" s="50">
        <v>49.8454</v>
      </c>
      <c r="M12" s="50">
        <v>5.4142</v>
      </c>
      <c r="N12" s="50">
        <v>2.8639</v>
      </c>
      <c r="O12" s="50">
        <v>9.8816</v>
      </c>
      <c r="P12" s="50">
        <v>6.0743</v>
      </c>
      <c r="Q12" s="50">
        <v>3.4671</v>
      </c>
      <c r="R12" s="50">
        <v>66.2671</v>
      </c>
      <c r="S12" s="50">
        <v>32.2698</v>
      </c>
      <c r="T12" s="50">
        <v>21.3259</v>
      </c>
    </row>
    <row r="13" customHeight="1" spans="3:20">
      <c r="C13" s="54" t="s">
        <v>24</v>
      </c>
      <c r="D13" s="55" t="s">
        <v>25</v>
      </c>
      <c r="E13" s="54" t="s">
        <v>26</v>
      </c>
      <c r="F13" s="55">
        <v>120</v>
      </c>
      <c r="G13" s="54" t="s">
        <v>27</v>
      </c>
      <c r="H13" s="56">
        <f t="shared" si="0"/>
        <v>25.5967363636364</v>
      </c>
      <c r="I13" s="57">
        <f t="shared" si="1"/>
        <v>22.81348</v>
      </c>
      <c r="J13" s="58">
        <v>16.1339</v>
      </c>
      <c r="K13" s="58">
        <v>53.4293</v>
      </c>
      <c r="L13" s="58">
        <v>51.9746</v>
      </c>
      <c r="M13" s="58">
        <v>4.3682</v>
      </c>
      <c r="N13" s="58">
        <v>2.1497</v>
      </c>
      <c r="O13" s="58">
        <v>12.6856</v>
      </c>
      <c r="P13" s="58">
        <v>11.3302</v>
      </c>
      <c r="Q13" s="58">
        <v>3.603</v>
      </c>
      <c r="R13" s="58">
        <v>70.2907</v>
      </c>
      <c r="S13" s="58">
        <v>34.5491</v>
      </c>
      <c r="T13" s="58">
        <v>21.0498</v>
      </c>
    </row>
    <row r="14" customHeight="1" spans="3:20">
      <c r="C14" s="33" t="s">
        <v>28</v>
      </c>
      <c r="D14" s="47" t="s">
        <v>29</v>
      </c>
      <c r="E14" s="33" t="s">
        <v>26</v>
      </c>
      <c r="F14" s="47">
        <v>30</v>
      </c>
      <c r="G14" s="33" t="s">
        <v>30</v>
      </c>
      <c r="H14" s="48">
        <f t="shared" si="0"/>
        <v>37.0439909090909</v>
      </c>
      <c r="I14" s="49">
        <f t="shared" si="1"/>
        <v>23.42247</v>
      </c>
      <c r="J14" s="59">
        <v>10.8075</v>
      </c>
      <c r="K14" s="59">
        <v>173.2592</v>
      </c>
      <c r="L14" s="59">
        <v>80.9901</v>
      </c>
      <c r="M14" s="59">
        <v>8.7154</v>
      </c>
      <c r="N14" s="59">
        <v>1.2358</v>
      </c>
      <c r="O14" s="59">
        <v>8.6385</v>
      </c>
      <c r="P14" s="59">
        <v>5.7613</v>
      </c>
      <c r="Q14" s="59">
        <v>3.1705</v>
      </c>
      <c r="R14" s="59">
        <v>59.5791</v>
      </c>
      <c r="S14" s="59">
        <v>25.5028</v>
      </c>
      <c r="T14" s="59">
        <v>29.8237</v>
      </c>
    </row>
    <row r="15" customHeight="1" spans="3:20">
      <c r="C15" s="33" t="s">
        <v>28</v>
      </c>
      <c r="D15" s="47" t="s">
        <v>29</v>
      </c>
      <c r="E15" s="33" t="s">
        <v>26</v>
      </c>
      <c r="F15" s="47">
        <v>60</v>
      </c>
      <c r="G15" s="33" t="s">
        <v>30</v>
      </c>
      <c r="H15" s="48">
        <f t="shared" si="0"/>
        <v>30.7373545454546</v>
      </c>
      <c r="I15" s="49">
        <f t="shared" si="1"/>
        <v>17.11039</v>
      </c>
      <c r="J15" s="60">
        <v>7.7853</v>
      </c>
      <c r="K15" s="59">
        <v>167.007</v>
      </c>
      <c r="L15" s="59">
        <v>73.8262</v>
      </c>
      <c r="M15" s="59">
        <v>3.657</v>
      </c>
      <c r="N15" s="61">
        <v>0.8649</v>
      </c>
      <c r="O15" s="60">
        <v>5.159</v>
      </c>
      <c r="P15" s="60">
        <v>3.8758</v>
      </c>
      <c r="Q15" s="59">
        <v>3.5802</v>
      </c>
      <c r="R15" s="59">
        <v>33.7817</v>
      </c>
      <c r="S15" s="59">
        <v>17.0195</v>
      </c>
      <c r="T15" s="59">
        <v>21.5543</v>
      </c>
    </row>
    <row r="16" customHeight="1" spans="3:20">
      <c r="C16" s="33" t="s">
        <v>28</v>
      </c>
      <c r="D16" s="47" t="s">
        <v>29</v>
      </c>
      <c r="E16" s="33" t="s">
        <v>26</v>
      </c>
      <c r="F16" s="47">
        <v>90</v>
      </c>
      <c r="G16" s="33" t="s">
        <v>30</v>
      </c>
      <c r="H16" s="48">
        <f t="shared" si="0"/>
        <v>27.5369181818182</v>
      </c>
      <c r="I16" s="49">
        <f t="shared" si="1"/>
        <v>13.10781</v>
      </c>
      <c r="J16" s="61">
        <v>5.2</v>
      </c>
      <c r="K16" s="59">
        <v>171.828</v>
      </c>
      <c r="L16" s="59">
        <v>60.4471</v>
      </c>
      <c r="M16" s="60">
        <v>3.4359</v>
      </c>
      <c r="N16" s="60">
        <v>1.1412</v>
      </c>
      <c r="O16" s="62">
        <v>5.0836</v>
      </c>
      <c r="P16" s="62">
        <v>3.1083</v>
      </c>
      <c r="Q16" s="59">
        <v>4.1479</v>
      </c>
      <c r="R16" s="61">
        <v>20.6438</v>
      </c>
      <c r="S16" s="62">
        <v>11.7915</v>
      </c>
      <c r="T16" s="60">
        <v>16.0788</v>
      </c>
    </row>
    <row r="17" customHeight="1" spans="3:20">
      <c r="C17" s="33" t="s">
        <v>28</v>
      </c>
      <c r="D17" s="47" t="s">
        <v>29</v>
      </c>
      <c r="E17" s="33" t="s">
        <v>26</v>
      </c>
      <c r="F17" s="47">
        <v>120</v>
      </c>
      <c r="G17" s="33" t="s">
        <v>30</v>
      </c>
      <c r="H17" s="48">
        <f t="shared" si="0"/>
        <v>23.2274272727273</v>
      </c>
      <c r="I17" s="63">
        <f t="shared" si="1"/>
        <v>11.84347</v>
      </c>
      <c r="J17" s="62">
        <v>5.5071</v>
      </c>
      <c r="K17" s="59">
        <v>137.067</v>
      </c>
      <c r="L17" s="59">
        <v>50.4633</v>
      </c>
      <c r="M17" s="61">
        <v>1.6237</v>
      </c>
      <c r="N17" s="62">
        <v>1.1001</v>
      </c>
      <c r="O17" s="61">
        <v>3.4823</v>
      </c>
      <c r="P17" s="61">
        <v>2.8937</v>
      </c>
      <c r="Q17" s="59">
        <v>3.9236</v>
      </c>
      <c r="R17" s="59">
        <v>24.4109</v>
      </c>
      <c r="S17" s="61">
        <v>7.35</v>
      </c>
      <c r="T17" s="59">
        <v>17.68</v>
      </c>
    </row>
    <row r="18" customHeight="1" spans="3:20">
      <c r="C18" s="64" t="s">
        <v>31</v>
      </c>
      <c r="D18" s="65" t="s">
        <v>32</v>
      </c>
      <c r="E18" s="64" t="s">
        <v>33</v>
      </c>
      <c r="F18" s="65">
        <v>30</v>
      </c>
      <c r="G18" s="64" t="s">
        <v>30</v>
      </c>
      <c r="H18" s="66">
        <f t="shared" si="0"/>
        <v>19.3373818181818</v>
      </c>
      <c r="I18" s="67">
        <f t="shared" si="1"/>
        <v>16.38868</v>
      </c>
      <c r="J18" s="68">
        <v>10.0145</v>
      </c>
      <c r="K18" s="69">
        <v>48.8244</v>
      </c>
      <c r="L18" s="68">
        <v>63.7123</v>
      </c>
      <c r="M18" s="68">
        <v>3.5316</v>
      </c>
      <c r="N18" s="68">
        <v>5.0238</v>
      </c>
      <c r="O18" s="68">
        <v>15.1958</v>
      </c>
      <c r="P18" s="68">
        <v>6.4056</v>
      </c>
      <c r="Q18" s="68">
        <v>4.3003</v>
      </c>
      <c r="R18" s="68">
        <v>29.961</v>
      </c>
      <c r="S18" s="70">
        <v>12.558</v>
      </c>
      <c r="T18" s="71">
        <v>13.1839</v>
      </c>
    </row>
    <row r="19" customHeight="1" spans="3:20">
      <c r="C19" s="33" t="s">
        <v>31</v>
      </c>
      <c r="D19" s="47" t="s">
        <v>32</v>
      </c>
      <c r="E19" s="33" t="s">
        <v>33</v>
      </c>
      <c r="F19" s="47">
        <v>60</v>
      </c>
      <c r="G19" s="33" t="s">
        <v>30</v>
      </c>
      <c r="H19" s="72">
        <f t="shared" si="0"/>
        <v>16.2881272727273</v>
      </c>
      <c r="I19" s="73">
        <f t="shared" si="1"/>
        <v>12.5839</v>
      </c>
      <c r="J19" s="59">
        <v>8.5844</v>
      </c>
      <c r="K19" s="59">
        <v>53.3304</v>
      </c>
      <c r="L19" s="60">
        <v>37.8289</v>
      </c>
      <c r="M19" s="59">
        <v>3.8119</v>
      </c>
      <c r="N19" s="59">
        <v>4.741</v>
      </c>
      <c r="O19" s="59">
        <v>13.1477</v>
      </c>
      <c r="P19" s="59">
        <v>4.5328</v>
      </c>
      <c r="Q19" s="59">
        <v>3.3479</v>
      </c>
      <c r="R19" s="62">
        <v>21.1003</v>
      </c>
      <c r="S19" s="59">
        <v>14.1742</v>
      </c>
      <c r="T19" s="62">
        <v>14.5699</v>
      </c>
    </row>
    <row r="20" customHeight="1" spans="3:20">
      <c r="C20" s="33" t="s">
        <v>31</v>
      </c>
      <c r="D20" s="47" t="s">
        <v>32</v>
      </c>
      <c r="E20" s="33" t="s">
        <v>33</v>
      </c>
      <c r="F20" s="47">
        <v>90</v>
      </c>
      <c r="G20" s="33" t="s">
        <v>30</v>
      </c>
      <c r="H20" s="74">
        <f t="shared" si="0"/>
        <v>16.4301090909091</v>
      </c>
      <c r="I20" s="75">
        <f t="shared" si="1"/>
        <v>12.54995</v>
      </c>
      <c r="J20" s="59">
        <v>11.7095</v>
      </c>
      <c r="K20" s="60">
        <v>55.2317</v>
      </c>
      <c r="L20" s="61">
        <v>33.9112</v>
      </c>
      <c r="M20" s="59">
        <v>3.6317</v>
      </c>
      <c r="N20" s="59">
        <v>4.4219</v>
      </c>
      <c r="O20" s="59">
        <v>11.404</v>
      </c>
      <c r="P20" s="59">
        <v>4.7656</v>
      </c>
      <c r="Q20" s="60">
        <v>2.9884</v>
      </c>
      <c r="R20" s="60">
        <v>21.9208</v>
      </c>
      <c r="S20" s="59">
        <v>14.5541</v>
      </c>
      <c r="T20" s="59">
        <v>16.1923</v>
      </c>
    </row>
    <row r="21" customHeight="1" spans="3:20">
      <c r="C21" s="76" t="s">
        <v>31</v>
      </c>
      <c r="D21" s="77" t="s">
        <v>32</v>
      </c>
      <c r="E21" s="76" t="s">
        <v>33</v>
      </c>
      <c r="F21" s="77">
        <v>120</v>
      </c>
      <c r="G21" s="76" t="s">
        <v>30</v>
      </c>
      <c r="H21" s="78">
        <f t="shared" si="0"/>
        <v>19.7446272727273</v>
      </c>
      <c r="I21" s="79">
        <f t="shared" si="1"/>
        <v>15.73129</v>
      </c>
      <c r="J21" s="80">
        <v>11.8551</v>
      </c>
      <c r="K21" s="80">
        <v>59.878</v>
      </c>
      <c r="L21" s="80">
        <v>54.2331</v>
      </c>
      <c r="M21" s="81">
        <v>3.0295</v>
      </c>
      <c r="N21" s="80">
        <v>4.1989</v>
      </c>
      <c r="O21" s="80">
        <v>16.1488</v>
      </c>
      <c r="P21" s="80">
        <v>6.4198</v>
      </c>
      <c r="Q21" s="82">
        <v>2.3769</v>
      </c>
      <c r="R21" s="80">
        <v>28.0935</v>
      </c>
      <c r="S21" s="80">
        <v>13.5542</v>
      </c>
      <c r="T21" s="80">
        <v>17.4031</v>
      </c>
    </row>
    <row r="26" customHeight="1" spans="3:20">
      <c r="T26" s="83"/>
    </row>
    <row r="28" ht="17.55"/>
    <row r="29" customHeight="1" spans="3:20">
      <c r="C29" s="84" t="s">
        <v>0</v>
      </c>
      <c r="D29" s="85" t="s">
        <v>1</v>
      </c>
      <c r="E29" s="86" t="s">
        <v>2</v>
      </c>
      <c r="F29" s="84" t="s">
        <v>3</v>
      </c>
      <c r="G29" s="86" t="s">
        <v>4</v>
      </c>
      <c r="H29" s="84" t="s">
        <v>5</v>
      </c>
      <c r="I29" s="87" t="s">
        <v>6</v>
      </c>
      <c r="J29" s="144" t="s">
        <v>7</v>
      </c>
      <c r="K29" s="144" t="s">
        <v>8</v>
      </c>
      <c r="L29" s="144" t="s">
        <v>9</v>
      </c>
      <c r="M29" s="144" t="s">
        <v>10</v>
      </c>
      <c r="N29" s="144" t="s">
        <v>11</v>
      </c>
      <c r="O29" s="144" t="s">
        <v>12</v>
      </c>
      <c r="P29" s="144" t="s">
        <v>13</v>
      </c>
      <c r="Q29" s="144" t="s">
        <v>14</v>
      </c>
      <c r="R29" s="144" t="s">
        <v>15</v>
      </c>
      <c r="S29" s="144" t="s">
        <v>16</v>
      </c>
      <c r="T29" s="84">
        <v>10</v>
      </c>
    </row>
    <row r="30" customHeight="1" spans="3:20">
      <c r="C30" s="89" t="s">
        <v>17</v>
      </c>
      <c r="D30" s="90" t="s">
        <v>18</v>
      </c>
      <c r="E30" s="91" t="s">
        <v>18</v>
      </c>
      <c r="F30" s="89" t="s">
        <v>18</v>
      </c>
      <c r="G30" s="91" t="s">
        <v>18</v>
      </c>
      <c r="H30" s="89">
        <v>2109</v>
      </c>
      <c r="I30" s="92">
        <v>2210</v>
      </c>
      <c r="J30" s="89">
        <v>4542</v>
      </c>
      <c r="K30" s="89">
        <v>1101</v>
      </c>
      <c r="L30" s="89">
        <v>4661</v>
      </c>
      <c r="M30" s="89">
        <v>801</v>
      </c>
      <c r="N30" s="89">
        <v>271</v>
      </c>
      <c r="O30" s="89">
        <v>2761</v>
      </c>
      <c r="P30" s="89">
        <v>1101</v>
      </c>
      <c r="Q30" s="89">
        <v>1101</v>
      </c>
      <c r="R30" s="89">
        <v>4071</v>
      </c>
      <c r="S30" s="89">
        <v>1591</v>
      </c>
      <c r="T30" s="89">
        <v>1201</v>
      </c>
    </row>
    <row r="31" customHeight="1" spans="3:20">
      <c r="C31" s="89" t="s">
        <v>19</v>
      </c>
      <c r="D31" s="90" t="s">
        <v>18</v>
      </c>
      <c r="E31" s="91" t="s">
        <v>18</v>
      </c>
      <c r="F31" s="89" t="s">
        <v>18</v>
      </c>
      <c r="G31" s="91" t="s">
        <v>18</v>
      </c>
      <c r="H31" s="89">
        <v>2012.243</v>
      </c>
      <c r="I31" s="92">
        <v>1968.147</v>
      </c>
      <c r="J31" s="89">
        <v>3724.19</v>
      </c>
      <c r="K31" s="89">
        <v>2453.2</v>
      </c>
      <c r="L31" s="89">
        <v>5067.23</v>
      </c>
      <c r="M31" s="89">
        <v>560.89</v>
      </c>
      <c r="N31" s="89">
        <v>393.65</v>
      </c>
      <c r="O31" s="89">
        <v>2205.58</v>
      </c>
      <c r="P31" s="89">
        <v>1232.88</v>
      </c>
      <c r="Q31" s="89">
        <v>649.7</v>
      </c>
      <c r="R31" s="89">
        <v>3222.8</v>
      </c>
      <c r="S31" s="89">
        <v>1705.05</v>
      </c>
      <c r="T31" s="89">
        <v>919.52</v>
      </c>
    </row>
    <row r="32" customHeight="1" spans="3:20">
      <c r="C32" s="89" t="s">
        <v>20</v>
      </c>
      <c r="D32" s="90" t="s">
        <v>18</v>
      </c>
      <c r="E32" s="91" t="s">
        <v>18</v>
      </c>
      <c r="F32" s="89" t="s">
        <v>18</v>
      </c>
      <c r="G32" s="91" t="s">
        <v>18</v>
      </c>
      <c r="H32" s="89">
        <v>0.95</v>
      </c>
      <c r="I32" s="92">
        <v>0.89</v>
      </c>
      <c r="J32" s="89">
        <v>0.82</v>
      </c>
      <c r="K32" s="89">
        <v>2.23</v>
      </c>
      <c r="L32" s="89">
        <v>1.09</v>
      </c>
      <c r="M32" s="89">
        <v>0.7</v>
      </c>
      <c r="N32" s="89">
        <v>1.45</v>
      </c>
      <c r="O32" s="89">
        <v>0.8</v>
      </c>
      <c r="P32" s="89">
        <v>1.12</v>
      </c>
      <c r="Q32" s="89">
        <v>0.59</v>
      </c>
      <c r="R32" s="89">
        <v>0.79</v>
      </c>
      <c r="S32" s="89">
        <v>1.07</v>
      </c>
      <c r="T32" s="89">
        <v>0.77</v>
      </c>
    </row>
    <row r="33" customHeight="1" spans="3:20">
      <c r="C33" s="93" t="s">
        <v>21</v>
      </c>
      <c r="D33" s="94" t="s">
        <v>18</v>
      </c>
      <c r="E33" s="95" t="s">
        <v>18</v>
      </c>
      <c r="F33" s="94" t="s">
        <v>18</v>
      </c>
      <c r="G33" s="95" t="s">
        <v>18</v>
      </c>
      <c r="H33" s="94" t="s">
        <v>18</v>
      </c>
      <c r="I33" s="93" t="s">
        <v>18</v>
      </c>
      <c r="J33" s="94" t="s">
        <v>22</v>
      </c>
      <c r="K33" s="94" t="s">
        <v>23</v>
      </c>
      <c r="L33" s="94" t="s">
        <v>22</v>
      </c>
      <c r="M33" s="94" t="s">
        <v>23</v>
      </c>
      <c r="N33" s="94" t="s">
        <v>23</v>
      </c>
      <c r="O33" s="94" t="s">
        <v>22</v>
      </c>
      <c r="P33" s="94" t="s">
        <v>22</v>
      </c>
      <c r="Q33" s="94" t="s">
        <v>22</v>
      </c>
      <c r="R33" s="94" t="s">
        <v>23</v>
      </c>
      <c r="S33" s="94" t="s">
        <v>22</v>
      </c>
      <c r="T33" s="94" t="s">
        <v>23</v>
      </c>
    </row>
    <row r="34" customHeight="1" spans="3:20">
      <c r="C34" s="96" t="s">
        <v>28</v>
      </c>
      <c r="D34" s="97" t="s">
        <v>29</v>
      </c>
      <c r="E34" s="98" t="s">
        <v>33</v>
      </c>
      <c r="F34" s="99">
        <v>30</v>
      </c>
      <c r="G34" s="100" t="s">
        <v>30</v>
      </c>
      <c r="H34" s="101">
        <f t="shared" ref="H34:H65" si="2">AVERAGE(J34:T34)</f>
        <v>23.8845818181818</v>
      </c>
      <c r="I34" s="102">
        <f t="shared" ref="I34:I65" si="3">AVERAGE(J34,L34:T34)</f>
        <v>16.06803</v>
      </c>
      <c r="J34" s="101">
        <v>13.2372</v>
      </c>
      <c r="K34" s="101">
        <v>102.0501</v>
      </c>
      <c r="L34" s="101">
        <v>33.6112</v>
      </c>
      <c r="M34" s="101">
        <v>6.4575</v>
      </c>
      <c r="N34" s="101">
        <v>3.007</v>
      </c>
      <c r="O34" s="101">
        <v>11.4626</v>
      </c>
      <c r="P34" s="101">
        <v>4.7784</v>
      </c>
      <c r="Q34" s="101">
        <v>5.6917</v>
      </c>
      <c r="R34" s="101">
        <v>35.3428</v>
      </c>
      <c r="S34" s="101">
        <v>19.642</v>
      </c>
      <c r="T34" s="101">
        <v>27.4499</v>
      </c>
    </row>
    <row r="35" customHeight="1" spans="3:20">
      <c r="C35" s="96" t="s">
        <v>28</v>
      </c>
      <c r="D35" s="97" t="s">
        <v>29</v>
      </c>
      <c r="E35" s="98" t="s">
        <v>33</v>
      </c>
      <c r="F35" s="99">
        <v>60</v>
      </c>
      <c r="G35" s="100" t="s">
        <v>30</v>
      </c>
      <c r="H35" s="101">
        <f t="shared" si="2"/>
        <v>24.9006090909091</v>
      </c>
      <c r="I35" s="102">
        <f t="shared" si="3"/>
        <v>15.77333</v>
      </c>
      <c r="J35" s="101">
        <v>13.9644</v>
      </c>
      <c r="K35" s="101">
        <v>116.1734</v>
      </c>
      <c r="L35" s="101">
        <v>31.9662</v>
      </c>
      <c r="M35" s="101">
        <v>6.765</v>
      </c>
      <c r="N35" s="101">
        <v>3.6757</v>
      </c>
      <c r="O35" s="101">
        <v>11.2791</v>
      </c>
      <c r="P35" s="101">
        <v>5.3555</v>
      </c>
      <c r="Q35" s="101">
        <v>6.834</v>
      </c>
      <c r="R35" s="101">
        <v>34.6695</v>
      </c>
      <c r="S35" s="101">
        <v>16.6994</v>
      </c>
      <c r="T35" s="101">
        <v>26.5245</v>
      </c>
    </row>
    <row r="36" customHeight="1" spans="3:20">
      <c r="C36" s="96" t="s">
        <v>28</v>
      </c>
      <c r="D36" s="97" t="s">
        <v>29</v>
      </c>
      <c r="E36" s="98" t="s">
        <v>33</v>
      </c>
      <c r="F36" s="99">
        <v>90</v>
      </c>
      <c r="G36" s="100" t="s">
        <v>30</v>
      </c>
      <c r="H36" s="101">
        <f t="shared" si="2"/>
        <v>26.1381454545455</v>
      </c>
      <c r="I36" s="102">
        <f t="shared" si="3"/>
        <v>16.93186</v>
      </c>
      <c r="J36" s="101">
        <v>13.6163</v>
      </c>
      <c r="K36" s="101">
        <v>118.201</v>
      </c>
      <c r="L36" s="101">
        <v>34.8463</v>
      </c>
      <c r="M36" s="101">
        <v>8.1599</v>
      </c>
      <c r="N36" s="101">
        <v>5.4248</v>
      </c>
      <c r="O36" s="101">
        <v>11.6943</v>
      </c>
      <c r="P36" s="101">
        <v>6.6529</v>
      </c>
      <c r="Q36" s="101">
        <v>7.7673</v>
      </c>
      <c r="R36" s="101">
        <v>41.5489</v>
      </c>
      <c r="S36" s="101">
        <v>15.9801</v>
      </c>
      <c r="T36" s="101">
        <v>23.6278</v>
      </c>
    </row>
    <row r="37" customHeight="1" spans="3:20">
      <c r="C37" s="103" t="s">
        <v>28</v>
      </c>
      <c r="D37" s="104" t="s">
        <v>29</v>
      </c>
      <c r="E37" s="105" t="s">
        <v>33</v>
      </c>
      <c r="F37" s="103">
        <v>120</v>
      </c>
      <c r="G37" s="106" t="s">
        <v>30</v>
      </c>
      <c r="H37" s="107">
        <f t="shared" si="2"/>
        <v>26.4080545454545</v>
      </c>
      <c r="I37" s="108">
        <f t="shared" si="3"/>
        <v>18.06261</v>
      </c>
      <c r="J37" s="107">
        <v>14.4587</v>
      </c>
      <c r="K37" s="107">
        <v>109.8625</v>
      </c>
      <c r="L37" s="107">
        <v>35.1659</v>
      </c>
      <c r="M37" s="107">
        <v>8.2737</v>
      </c>
      <c r="N37" s="107">
        <v>3.4992</v>
      </c>
      <c r="O37" s="107">
        <v>13.4482</v>
      </c>
      <c r="P37" s="107">
        <v>6.5007</v>
      </c>
      <c r="Q37" s="107">
        <v>8.7361</v>
      </c>
      <c r="R37" s="107">
        <v>49.3051</v>
      </c>
      <c r="S37" s="107">
        <v>17.0016</v>
      </c>
      <c r="T37" s="107">
        <v>24.2369</v>
      </c>
    </row>
    <row r="38" customHeight="1" spans="3:20">
      <c r="C38" s="109" t="s">
        <v>28</v>
      </c>
      <c r="D38" s="110" t="s">
        <v>29</v>
      </c>
      <c r="E38" s="111" t="s">
        <v>33</v>
      </c>
      <c r="F38" s="109">
        <v>30</v>
      </c>
      <c r="G38" s="111" t="s">
        <v>34</v>
      </c>
      <c r="H38" s="112">
        <f t="shared" si="2"/>
        <v>24.9852818181818</v>
      </c>
      <c r="I38" s="113">
        <f t="shared" si="3"/>
        <v>16.20834</v>
      </c>
      <c r="J38" s="112">
        <v>12.6479</v>
      </c>
      <c r="K38" s="112">
        <v>112.7547</v>
      </c>
      <c r="L38" s="112">
        <v>33.3752</v>
      </c>
      <c r="M38" s="112">
        <v>8.4921</v>
      </c>
      <c r="N38" s="112">
        <v>3.6977</v>
      </c>
      <c r="O38" s="112">
        <v>10.7263</v>
      </c>
      <c r="P38" s="112">
        <v>6.105</v>
      </c>
      <c r="Q38" s="112">
        <v>5.1024</v>
      </c>
      <c r="R38" s="112">
        <v>36.2485</v>
      </c>
      <c r="S38" s="112">
        <v>21.5944</v>
      </c>
      <c r="T38" s="112">
        <v>24.0939</v>
      </c>
    </row>
    <row r="39" customHeight="1" spans="3:20">
      <c r="C39" s="114" t="s">
        <v>28</v>
      </c>
      <c r="D39" s="115" t="s">
        <v>29</v>
      </c>
      <c r="E39" s="116" t="s">
        <v>33</v>
      </c>
      <c r="F39" s="114">
        <v>60</v>
      </c>
      <c r="G39" s="116" t="s">
        <v>34</v>
      </c>
      <c r="H39" s="117">
        <f t="shared" si="2"/>
        <v>25.4129090909091</v>
      </c>
      <c r="I39" s="118">
        <f t="shared" si="3"/>
        <v>13.90141</v>
      </c>
      <c r="J39" s="117">
        <v>11.9446</v>
      </c>
      <c r="K39" s="117">
        <v>140.5279</v>
      </c>
      <c r="L39" s="117">
        <v>24.4844</v>
      </c>
      <c r="M39" s="117">
        <v>6.6303</v>
      </c>
      <c r="N39" s="117">
        <v>4.5404</v>
      </c>
      <c r="O39" s="117">
        <v>10.8464</v>
      </c>
      <c r="P39" s="117">
        <v>7.3564</v>
      </c>
      <c r="Q39" s="117">
        <v>5.9788</v>
      </c>
      <c r="R39" s="117">
        <v>24.6286</v>
      </c>
      <c r="S39" s="117">
        <v>20.2374</v>
      </c>
      <c r="T39" s="117">
        <v>22.3668</v>
      </c>
    </row>
    <row r="40" customHeight="1" spans="3:20">
      <c r="C40" s="114" t="s">
        <v>28</v>
      </c>
      <c r="D40" s="115" t="s">
        <v>29</v>
      </c>
      <c r="E40" s="116" t="s">
        <v>33</v>
      </c>
      <c r="F40" s="114">
        <v>90</v>
      </c>
      <c r="G40" s="116" t="s">
        <v>34</v>
      </c>
      <c r="H40" s="117">
        <f t="shared" si="2"/>
        <v>26.0238090909091</v>
      </c>
      <c r="I40" s="118">
        <f t="shared" si="3"/>
        <v>14.06758</v>
      </c>
      <c r="J40" s="117">
        <v>11.6435</v>
      </c>
      <c r="K40" s="117">
        <v>145.5861</v>
      </c>
      <c r="L40" s="117">
        <v>22.2689</v>
      </c>
      <c r="M40" s="117">
        <v>6.9934</v>
      </c>
      <c r="N40" s="117">
        <v>6.214</v>
      </c>
      <c r="O40" s="117">
        <v>11.4959</v>
      </c>
      <c r="P40" s="117">
        <v>8.69</v>
      </c>
      <c r="Q40" s="117">
        <v>7.3583</v>
      </c>
      <c r="R40" s="117">
        <v>25.8982</v>
      </c>
      <c r="S40" s="117">
        <v>19.0726</v>
      </c>
      <c r="T40" s="117">
        <v>21.041</v>
      </c>
    </row>
    <row r="41" customHeight="1" spans="3:20">
      <c r="C41" s="119" t="s">
        <v>28</v>
      </c>
      <c r="D41" s="120" t="s">
        <v>29</v>
      </c>
      <c r="E41" s="121" t="s">
        <v>33</v>
      </c>
      <c r="F41" s="119">
        <v>120</v>
      </c>
      <c r="G41" s="121" t="s">
        <v>34</v>
      </c>
      <c r="H41" s="122">
        <f t="shared" si="2"/>
        <v>27.0125636363636</v>
      </c>
      <c r="I41" s="123">
        <f t="shared" si="3"/>
        <v>15.70256</v>
      </c>
      <c r="J41" s="122">
        <v>11.8954</v>
      </c>
      <c r="K41" s="122">
        <v>140.1126</v>
      </c>
      <c r="L41" s="122">
        <v>26.234</v>
      </c>
      <c r="M41" s="122">
        <v>7.729</v>
      </c>
      <c r="N41" s="122">
        <v>4.1402</v>
      </c>
      <c r="O41" s="122">
        <v>12.1004</v>
      </c>
      <c r="P41" s="122">
        <v>8.3053</v>
      </c>
      <c r="Q41" s="122">
        <v>9.0295</v>
      </c>
      <c r="R41" s="122">
        <v>36.4739</v>
      </c>
      <c r="S41" s="122">
        <v>19.8101</v>
      </c>
      <c r="T41" s="122">
        <v>21.3078</v>
      </c>
    </row>
    <row r="42" customHeight="1" spans="3:20">
      <c r="C42" s="99" t="s">
        <v>28</v>
      </c>
      <c r="D42" s="124" t="s">
        <v>29</v>
      </c>
      <c r="E42" s="100" t="s">
        <v>26</v>
      </c>
      <c r="F42" s="99">
        <v>30</v>
      </c>
      <c r="G42" s="100" t="s">
        <v>30</v>
      </c>
      <c r="H42" s="101">
        <f t="shared" si="2"/>
        <v>37.0439909090909</v>
      </c>
      <c r="I42" s="102">
        <f t="shared" si="3"/>
        <v>23.42247</v>
      </c>
      <c r="J42" s="101">
        <v>10.8075</v>
      </c>
      <c r="K42" s="101">
        <v>173.2592</v>
      </c>
      <c r="L42" s="101">
        <v>80.9901</v>
      </c>
      <c r="M42" s="101">
        <v>8.7154</v>
      </c>
      <c r="N42" s="101">
        <v>1.2358</v>
      </c>
      <c r="O42" s="101">
        <v>8.6385</v>
      </c>
      <c r="P42" s="101">
        <v>5.7613</v>
      </c>
      <c r="Q42" s="101">
        <v>3.1705</v>
      </c>
      <c r="R42" s="101">
        <v>59.5791</v>
      </c>
      <c r="S42" s="101">
        <v>25.5028</v>
      </c>
      <c r="T42" s="101">
        <v>29.8237</v>
      </c>
    </row>
    <row r="43" customHeight="1" spans="3:20">
      <c r="C43" s="99" t="s">
        <v>28</v>
      </c>
      <c r="D43" s="124" t="s">
        <v>29</v>
      </c>
      <c r="E43" s="100" t="s">
        <v>26</v>
      </c>
      <c r="F43" s="99">
        <v>60</v>
      </c>
      <c r="G43" s="100" t="s">
        <v>30</v>
      </c>
      <c r="H43" s="101">
        <f t="shared" si="2"/>
        <v>30.7373545454546</v>
      </c>
      <c r="I43" s="102">
        <f t="shared" si="3"/>
        <v>17.11039</v>
      </c>
      <c r="J43" s="101">
        <v>7.7853</v>
      </c>
      <c r="K43" s="101">
        <v>167.007</v>
      </c>
      <c r="L43" s="101">
        <v>73.8262</v>
      </c>
      <c r="M43" s="101">
        <v>3.657</v>
      </c>
      <c r="N43" s="101">
        <v>0.8649</v>
      </c>
      <c r="O43" s="101">
        <v>5.159</v>
      </c>
      <c r="P43" s="101">
        <v>3.8758</v>
      </c>
      <c r="Q43" s="101">
        <v>3.5802</v>
      </c>
      <c r="R43" s="101">
        <v>33.7817</v>
      </c>
      <c r="S43" s="101">
        <v>17.0195</v>
      </c>
      <c r="T43" s="101">
        <v>21.5543</v>
      </c>
    </row>
    <row r="44" customHeight="1" spans="3:20">
      <c r="C44" s="99" t="s">
        <v>28</v>
      </c>
      <c r="D44" s="124" t="s">
        <v>29</v>
      </c>
      <c r="E44" s="100" t="s">
        <v>26</v>
      </c>
      <c r="F44" s="99">
        <v>90</v>
      </c>
      <c r="G44" s="100" t="s">
        <v>30</v>
      </c>
      <c r="H44" s="101">
        <f t="shared" si="2"/>
        <v>27.5369181818182</v>
      </c>
      <c r="I44" s="102">
        <f t="shared" si="3"/>
        <v>13.10781</v>
      </c>
      <c r="J44" s="101">
        <v>5.2</v>
      </c>
      <c r="K44" s="101">
        <v>171.828</v>
      </c>
      <c r="L44" s="101">
        <v>60.4471</v>
      </c>
      <c r="M44" s="101">
        <v>3.4359</v>
      </c>
      <c r="N44" s="101">
        <v>1.1412</v>
      </c>
      <c r="O44" s="101">
        <v>5.0836</v>
      </c>
      <c r="P44" s="101">
        <v>3.1083</v>
      </c>
      <c r="Q44" s="101">
        <v>4.1479</v>
      </c>
      <c r="R44" s="101">
        <v>20.6438</v>
      </c>
      <c r="S44" s="101">
        <v>11.7915</v>
      </c>
      <c r="T44" s="101">
        <v>16.0788</v>
      </c>
    </row>
    <row r="45" customHeight="1" spans="3:20">
      <c r="C45" s="103" t="s">
        <v>28</v>
      </c>
      <c r="D45" s="104" t="s">
        <v>29</v>
      </c>
      <c r="E45" s="106" t="s">
        <v>26</v>
      </c>
      <c r="F45" s="103">
        <v>120</v>
      </c>
      <c r="G45" s="106" t="s">
        <v>30</v>
      </c>
      <c r="H45" s="107">
        <f t="shared" si="2"/>
        <v>23.2274272727273</v>
      </c>
      <c r="I45" s="108">
        <f t="shared" si="3"/>
        <v>11.84347</v>
      </c>
      <c r="J45" s="107">
        <v>5.5071</v>
      </c>
      <c r="K45" s="107">
        <v>137.067</v>
      </c>
      <c r="L45" s="107">
        <v>50.4633</v>
      </c>
      <c r="M45" s="107">
        <v>1.6237</v>
      </c>
      <c r="N45" s="107">
        <v>1.1001</v>
      </c>
      <c r="O45" s="107">
        <v>3.4823</v>
      </c>
      <c r="P45" s="107">
        <v>2.8937</v>
      </c>
      <c r="Q45" s="107">
        <v>3.9236</v>
      </c>
      <c r="R45" s="107">
        <v>24.4109</v>
      </c>
      <c r="S45" s="107">
        <v>7.35</v>
      </c>
      <c r="T45" s="107">
        <v>17.68</v>
      </c>
    </row>
    <row r="46" customHeight="1" spans="3:20">
      <c r="C46" s="114" t="s">
        <v>28</v>
      </c>
      <c r="D46" s="115" t="s">
        <v>29</v>
      </c>
      <c r="E46" s="125" t="s">
        <v>26</v>
      </c>
      <c r="F46" s="114">
        <v>30</v>
      </c>
      <c r="G46" s="116" t="s">
        <v>34</v>
      </c>
      <c r="H46" s="117">
        <f t="shared" si="2"/>
        <v>39.4535090909091</v>
      </c>
      <c r="I46" s="118">
        <f t="shared" si="3"/>
        <v>22.32142</v>
      </c>
      <c r="J46" s="117">
        <v>20.86</v>
      </c>
      <c r="K46" s="117">
        <v>210.7744</v>
      </c>
      <c r="L46" s="117">
        <v>55.3454</v>
      </c>
      <c r="M46" s="117">
        <v>17.6214</v>
      </c>
      <c r="N46" s="117">
        <v>3.7788</v>
      </c>
      <c r="O46" s="117">
        <v>9.5952</v>
      </c>
      <c r="P46" s="117">
        <v>6.6828</v>
      </c>
      <c r="Q46" s="117">
        <v>5.3184</v>
      </c>
      <c r="R46" s="117">
        <v>61.6804</v>
      </c>
      <c r="S46" s="117">
        <v>23.1819</v>
      </c>
      <c r="T46" s="117">
        <v>19.1499</v>
      </c>
    </row>
    <row r="47" customHeight="1" spans="3:20">
      <c r="C47" s="114" t="s">
        <v>28</v>
      </c>
      <c r="D47" s="115" t="s">
        <v>29</v>
      </c>
      <c r="E47" s="125" t="s">
        <v>26</v>
      </c>
      <c r="F47" s="114">
        <v>60</v>
      </c>
      <c r="G47" s="116" t="s">
        <v>34</v>
      </c>
      <c r="H47" s="117">
        <f t="shared" si="2"/>
        <v>29.8129909090909</v>
      </c>
      <c r="I47" s="118">
        <f t="shared" si="3"/>
        <v>15.31513</v>
      </c>
      <c r="J47" s="117">
        <v>11.921</v>
      </c>
      <c r="K47" s="117">
        <v>174.7916</v>
      </c>
      <c r="L47" s="117">
        <v>41.6906</v>
      </c>
      <c r="M47" s="117">
        <v>8.5473</v>
      </c>
      <c r="N47" s="117">
        <v>2.6372</v>
      </c>
      <c r="O47" s="117">
        <v>5.8977</v>
      </c>
      <c r="P47" s="117">
        <v>5.4761</v>
      </c>
      <c r="Q47" s="117">
        <v>4.4082</v>
      </c>
      <c r="R47" s="117">
        <v>43.7672</v>
      </c>
      <c r="S47" s="117">
        <v>16.9977</v>
      </c>
      <c r="T47" s="117">
        <v>11.8083</v>
      </c>
    </row>
    <row r="48" customHeight="1" spans="3:20">
      <c r="C48" s="114" t="s">
        <v>28</v>
      </c>
      <c r="D48" s="115" t="s">
        <v>29</v>
      </c>
      <c r="E48" s="125" t="s">
        <v>26</v>
      </c>
      <c r="F48" s="114">
        <v>90</v>
      </c>
      <c r="G48" s="116" t="s">
        <v>34</v>
      </c>
      <c r="H48" s="117">
        <f t="shared" si="2"/>
        <v>23.7521</v>
      </c>
      <c r="I48" s="118">
        <f t="shared" si="3"/>
        <v>12.45678</v>
      </c>
      <c r="J48" s="117">
        <v>9.5513</v>
      </c>
      <c r="K48" s="117">
        <v>136.7053</v>
      </c>
      <c r="L48" s="117">
        <v>39.5927</v>
      </c>
      <c r="M48" s="117">
        <v>5.3659</v>
      </c>
      <c r="N48" s="117">
        <v>3.1743</v>
      </c>
      <c r="O48" s="117">
        <v>6.5619</v>
      </c>
      <c r="P48" s="117">
        <v>2.1918</v>
      </c>
      <c r="Q48" s="117">
        <v>4.6451</v>
      </c>
      <c r="R48" s="117">
        <v>28.1085</v>
      </c>
      <c r="S48" s="117">
        <v>13.9185</v>
      </c>
      <c r="T48" s="117">
        <v>11.4578</v>
      </c>
    </row>
    <row r="49" customHeight="1" spans="3:20">
      <c r="C49" s="114" t="s">
        <v>28</v>
      </c>
      <c r="D49" s="115" t="s">
        <v>29</v>
      </c>
      <c r="E49" s="125" t="s">
        <v>26</v>
      </c>
      <c r="F49" s="114">
        <v>120</v>
      </c>
      <c r="G49" s="116" t="s">
        <v>34</v>
      </c>
      <c r="H49" s="117">
        <f t="shared" si="2"/>
        <v>23.5928</v>
      </c>
      <c r="I49" s="118">
        <f t="shared" si="3"/>
        <v>11.82723</v>
      </c>
      <c r="J49" s="117">
        <v>8.3987</v>
      </c>
      <c r="K49" s="117">
        <v>141.2485</v>
      </c>
      <c r="L49" s="117">
        <v>45.9151</v>
      </c>
      <c r="M49" s="117">
        <v>1.7043</v>
      </c>
      <c r="N49" s="117">
        <v>2.849</v>
      </c>
      <c r="O49" s="117">
        <v>4.8404</v>
      </c>
      <c r="P49" s="117">
        <v>3.2804</v>
      </c>
      <c r="Q49" s="117">
        <v>4.9078</v>
      </c>
      <c r="R49" s="117">
        <v>20.7666</v>
      </c>
      <c r="S49" s="117">
        <v>10.0963</v>
      </c>
      <c r="T49" s="117">
        <v>15.5137</v>
      </c>
    </row>
    <row r="50" customHeight="1" spans="3:20">
      <c r="C50" s="126" t="s">
        <v>31</v>
      </c>
      <c r="D50" s="127" t="s">
        <v>32</v>
      </c>
      <c r="E50" s="128" t="s">
        <v>33</v>
      </c>
      <c r="F50" s="126">
        <v>30</v>
      </c>
      <c r="G50" s="129" t="s">
        <v>30</v>
      </c>
      <c r="H50" s="130">
        <f t="shared" si="2"/>
        <v>19.3373818181818</v>
      </c>
      <c r="I50" s="131">
        <f t="shared" si="3"/>
        <v>16.38868</v>
      </c>
      <c r="J50" s="130">
        <v>10.0145</v>
      </c>
      <c r="K50" s="130">
        <v>48.8244</v>
      </c>
      <c r="L50" s="130">
        <v>63.7123</v>
      </c>
      <c r="M50" s="130">
        <v>3.5316</v>
      </c>
      <c r="N50" s="130">
        <v>5.0238</v>
      </c>
      <c r="O50" s="130">
        <v>15.1958</v>
      </c>
      <c r="P50" s="130">
        <v>6.4056</v>
      </c>
      <c r="Q50" s="130">
        <v>4.3003</v>
      </c>
      <c r="R50" s="130">
        <v>29.961</v>
      </c>
      <c r="S50" s="130">
        <v>12.558</v>
      </c>
      <c r="T50" s="130">
        <v>13.1839</v>
      </c>
    </row>
    <row r="51" customHeight="1" spans="3:20">
      <c r="C51" s="99" t="s">
        <v>31</v>
      </c>
      <c r="D51" s="132" t="s">
        <v>32</v>
      </c>
      <c r="E51" s="98" t="s">
        <v>33</v>
      </c>
      <c r="F51" s="99">
        <v>60</v>
      </c>
      <c r="G51" s="100" t="s">
        <v>30</v>
      </c>
      <c r="H51" s="101">
        <f t="shared" si="2"/>
        <v>16.2881272727273</v>
      </c>
      <c r="I51" s="102">
        <f t="shared" si="3"/>
        <v>12.5839</v>
      </c>
      <c r="J51" s="101">
        <v>8.5844</v>
      </c>
      <c r="K51" s="101">
        <v>53.3304</v>
      </c>
      <c r="L51" s="101">
        <v>37.8289</v>
      </c>
      <c r="M51" s="101">
        <v>3.8119</v>
      </c>
      <c r="N51" s="101">
        <v>4.741</v>
      </c>
      <c r="O51" s="101">
        <v>13.1477</v>
      </c>
      <c r="P51" s="101">
        <v>4.5328</v>
      </c>
      <c r="Q51" s="101">
        <v>3.3479</v>
      </c>
      <c r="R51" s="101">
        <v>21.1003</v>
      </c>
      <c r="S51" s="101">
        <v>14.1742</v>
      </c>
      <c r="T51" s="101">
        <v>14.5699</v>
      </c>
    </row>
    <row r="52" customHeight="1" spans="3:20">
      <c r="C52" s="99" t="s">
        <v>31</v>
      </c>
      <c r="D52" s="132" t="s">
        <v>32</v>
      </c>
      <c r="E52" s="98" t="s">
        <v>33</v>
      </c>
      <c r="F52" s="99">
        <v>90</v>
      </c>
      <c r="G52" s="100" t="s">
        <v>30</v>
      </c>
      <c r="H52" s="101">
        <f t="shared" si="2"/>
        <v>16.4301090909091</v>
      </c>
      <c r="I52" s="102">
        <f t="shared" si="3"/>
        <v>12.54995</v>
      </c>
      <c r="J52" s="101">
        <v>11.7095</v>
      </c>
      <c r="K52" s="101">
        <v>55.2317</v>
      </c>
      <c r="L52" s="101">
        <v>33.9112</v>
      </c>
      <c r="M52" s="101">
        <v>3.6317</v>
      </c>
      <c r="N52" s="101">
        <v>4.4219</v>
      </c>
      <c r="O52" s="101">
        <v>11.404</v>
      </c>
      <c r="P52" s="101">
        <v>4.7656</v>
      </c>
      <c r="Q52" s="101">
        <v>2.9884</v>
      </c>
      <c r="R52" s="101">
        <v>21.9208</v>
      </c>
      <c r="S52" s="101">
        <v>14.5541</v>
      </c>
      <c r="T52" s="101">
        <v>16.1923</v>
      </c>
    </row>
    <row r="53" customHeight="1" spans="3:20">
      <c r="C53" s="103" t="s">
        <v>31</v>
      </c>
      <c r="D53" s="133" t="s">
        <v>32</v>
      </c>
      <c r="E53" s="105" t="s">
        <v>33</v>
      </c>
      <c r="F53" s="103">
        <v>120</v>
      </c>
      <c r="G53" s="106" t="s">
        <v>30</v>
      </c>
      <c r="H53" s="107">
        <f t="shared" si="2"/>
        <v>19.7446272727273</v>
      </c>
      <c r="I53" s="108">
        <f t="shared" si="3"/>
        <v>15.73129</v>
      </c>
      <c r="J53" s="107">
        <v>11.8551</v>
      </c>
      <c r="K53" s="107">
        <v>59.878</v>
      </c>
      <c r="L53" s="107">
        <v>54.2331</v>
      </c>
      <c r="M53" s="107">
        <v>3.0295</v>
      </c>
      <c r="N53" s="107">
        <v>4.1989</v>
      </c>
      <c r="O53" s="107">
        <v>16.1488</v>
      </c>
      <c r="P53" s="107">
        <v>6.4198</v>
      </c>
      <c r="Q53" s="107">
        <v>2.3769</v>
      </c>
      <c r="R53" s="107">
        <v>28.0935</v>
      </c>
      <c r="S53" s="107">
        <v>13.5542</v>
      </c>
      <c r="T53" s="107">
        <v>17.4031</v>
      </c>
    </row>
    <row r="54" customHeight="1" spans="3:20">
      <c r="C54" s="109" t="s">
        <v>31</v>
      </c>
      <c r="D54" s="134" t="s">
        <v>32</v>
      </c>
      <c r="E54" s="111" t="s">
        <v>33</v>
      </c>
      <c r="F54" s="109">
        <v>30</v>
      </c>
      <c r="G54" s="111" t="s">
        <v>34</v>
      </c>
      <c r="H54" s="112">
        <f t="shared" si="2"/>
        <v>22.8419818181818</v>
      </c>
      <c r="I54" s="113">
        <f t="shared" si="3"/>
        <v>21.61459</v>
      </c>
      <c r="J54" s="112">
        <v>13.1568</v>
      </c>
      <c r="K54" s="112">
        <v>35.1159</v>
      </c>
      <c r="L54" s="112">
        <v>60.9649</v>
      </c>
      <c r="M54" s="112">
        <v>4.4337</v>
      </c>
      <c r="N54" s="112">
        <v>4.8821</v>
      </c>
      <c r="O54" s="112">
        <v>20.6976</v>
      </c>
      <c r="P54" s="112">
        <v>8.9844</v>
      </c>
      <c r="Q54" s="112">
        <v>6.3867</v>
      </c>
      <c r="R54" s="112">
        <v>59.098</v>
      </c>
      <c r="S54" s="112">
        <v>13.1518</v>
      </c>
      <c r="T54" s="112">
        <v>24.3899</v>
      </c>
    </row>
    <row r="55" customHeight="1" spans="3:20">
      <c r="C55" s="114" t="s">
        <v>31</v>
      </c>
      <c r="D55" s="135" t="s">
        <v>32</v>
      </c>
      <c r="E55" s="116" t="s">
        <v>33</v>
      </c>
      <c r="F55" s="114">
        <v>60</v>
      </c>
      <c r="G55" s="116" t="s">
        <v>34</v>
      </c>
      <c r="H55" s="117">
        <f t="shared" si="2"/>
        <v>21.9316272727273</v>
      </c>
      <c r="I55" s="118">
        <f t="shared" si="3"/>
        <v>20.12077</v>
      </c>
      <c r="J55" s="117">
        <v>10.1723</v>
      </c>
      <c r="K55" s="117">
        <v>40.0402</v>
      </c>
      <c r="L55" s="117">
        <v>64.7023</v>
      </c>
      <c r="M55" s="117">
        <v>4.4104</v>
      </c>
      <c r="N55" s="117">
        <v>4.7496</v>
      </c>
      <c r="O55" s="117">
        <v>20.2388</v>
      </c>
      <c r="P55" s="117">
        <v>8.5186</v>
      </c>
      <c r="Q55" s="117">
        <v>5.8909</v>
      </c>
      <c r="R55" s="117">
        <v>45.4948</v>
      </c>
      <c r="S55" s="117">
        <v>13.4231</v>
      </c>
      <c r="T55" s="117">
        <v>23.6069</v>
      </c>
    </row>
    <row r="56" customHeight="1" spans="3:20">
      <c r="C56" s="114" t="s">
        <v>31</v>
      </c>
      <c r="D56" s="135" t="s">
        <v>32</v>
      </c>
      <c r="E56" s="116" t="s">
        <v>33</v>
      </c>
      <c r="F56" s="114">
        <v>90</v>
      </c>
      <c r="G56" s="116" t="s">
        <v>34</v>
      </c>
      <c r="H56" s="117">
        <f t="shared" si="2"/>
        <v>20.5682181818182</v>
      </c>
      <c r="I56" s="118">
        <f t="shared" si="3"/>
        <v>18.52827</v>
      </c>
      <c r="J56" s="117">
        <v>10.4363</v>
      </c>
      <c r="K56" s="117">
        <v>40.9677</v>
      </c>
      <c r="L56" s="117">
        <v>60.8053</v>
      </c>
      <c r="M56" s="117">
        <v>4.4909</v>
      </c>
      <c r="N56" s="117">
        <v>5.1336</v>
      </c>
      <c r="O56" s="117">
        <v>17.6682</v>
      </c>
      <c r="P56" s="117">
        <v>7.4471</v>
      </c>
      <c r="Q56" s="117">
        <v>5.2509</v>
      </c>
      <c r="R56" s="117">
        <v>35.9881</v>
      </c>
      <c r="S56" s="117">
        <v>14.7989</v>
      </c>
      <c r="T56" s="117">
        <v>23.2634</v>
      </c>
    </row>
    <row r="57" customHeight="1" spans="3:20">
      <c r="C57" s="119" t="s">
        <v>31</v>
      </c>
      <c r="D57" s="136" t="s">
        <v>32</v>
      </c>
      <c r="E57" s="121" t="s">
        <v>33</v>
      </c>
      <c r="F57" s="119">
        <v>120</v>
      </c>
      <c r="G57" s="121" t="s">
        <v>34</v>
      </c>
      <c r="H57" s="122">
        <f t="shared" si="2"/>
        <v>20.4804181818182</v>
      </c>
      <c r="I57" s="123">
        <f t="shared" si="3"/>
        <v>18.40393</v>
      </c>
      <c r="J57" s="122">
        <v>13.5112</v>
      </c>
      <c r="K57" s="122">
        <v>41.2453</v>
      </c>
      <c r="L57" s="122">
        <v>59.2723</v>
      </c>
      <c r="M57" s="122">
        <v>3.5133</v>
      </c>
      <c r="N57" s="122">
        <v>5.1605</v>
      </c>
      <c r="O57" s="122">
        <v>20.745</v>
      </c>
      <c r="P57" s="122">
        <v>8.2504</v>
      </c>
      <c r="Q57" s="122">
        <v>5.0387</v>
      </c>
      <c r="R57" s="122">
        <v>32.3413</v>
      </c>
      <c r="S57" s="122">
        <v>12.7117</v>
      </c>
      <c r="T57" s="122">
        <v>23.4949</v>
      </c>
    </row>
    <row r="58" customHeight="1" spans="3:20">
      <c r="C58" s="99" t="s">
        <v>31</v>
      </c>
      <c r="D58" s="132" t="s">
        <v>32</v>
      </c>
      <c r="E58" s="100" t="s">
        <v>26</v>
      </c>
      <c r="F58" s="99">
        <v>30</v>
      </c>
      <c r="G58" s="100" t="s">
        <v>30</v>
      </c>
      <c r="H58" s="101">
        <f t="shared" si="2"/>
        <v>51.9407</v>
      </c>
      <c r="I58" s="102">
        <f t="shared" si="3"/>
        <v>34.0302</v>
      </c>
      <c r="J58" s="101">
        <v>14.7558</v>
      </c>
      <c r="K58" s="101">
        <v>231.0457</v>
      </c>
      <c r="L58" s="101">
        <v>160.0565</v>
      </c>
      <c r="M58" s="101">
        <v>10.9368</v>
      </c>
      <c r="N58" s="101">
        <v>4.8096</v>
      </c>
      <c r="O58" s="101">
        <v>12.7889</v>
      </c>
      <c r="P58" s="101">
        <v>8.5049</v>
      </c>
      <c r="Q58" s="101">
        <v>3.4526</v>
      </c>
      <c r="R58" s="101">
        <v>64.3037</v>
      </c>
      <c r="S58" s="101">
        <v>17.9256</v>
      </c>
      <c r="T58" s="101">
        <v>42.7676</v>
      </c>
    </row>
    <row r="59" customHeight="1" spans="3:20">
      <c r="C59" s="99" t="s">
        <v>31</v>
      </c>
      <c r="D59" s="132" t="s">
        <v>32</v>
      </c>
      <c r="E59" s="100" t="s">
        <v>26</v>
      </c>
      <c r="F59" s="99">
        <v>60</v>
      </c>
      <c r="G59" s="100" t="s">
        <v>30</v>
      </c>
      <c r="H59" s="101">
        <f t="shared" si="2"/>
        <v>54.3835636363636</v>
      </c>
      <c r="I59" s="102">
        <f t="shared" si="3"/>
        <v>33.735</v>
      </c>
      <c r="J59" s="101">
        <v>8.9036</v>
      </c>
      <c r="K59" s="101">
        <v>260.8692</v>
      </c>
      <c r="L59" s="101">
        <v>194.6938</v>
      </c>
      <c r="M59" s="101">
        <v>12.0841</v>
      </c>
      <c r="N59" s="101">
        <v>4.0244</v>
      </c>
      <c r="O59" s="101">
        <v>8.7878</v>
      </c>
      <c r="P59" s="101">
        <v>4.3815</v>
      </c>
      <c r="Q59" s="101">
        <v>2.7779</v>
      </c>
      <c r="R59" s="101">
        <v>60.3042</v>
      </c>
      <c r="S59" s="101">
        <v>11.6279</v>
      </c>
      <c r="T59" s="101">
        <v>29.7648</v>
      </c>
    </row>
    <row r="60" customHeight="1" spans="3:20">
      <c r="C60" s="99" t="s">
        <v>31</v>
      </c>
      <c r="D60" s="132" t="s">
        <v>32</v>
      </c>
      <c r="E60" s="100" t="s">
        <v>26</v>
      </c>
      <c r="F60" s="99">
        <v>90</v>
      </c>
      <c r="G60" s="100" t="s">
        <v>30</v>
      </c>
      <c r="H60" s="101">
        <f t="shared" si="2"/>
        <v>53.2033545454545</v>
      </c>
      <c r="I60" s="102">
        <f t="shared" si="3"/>
        <v>31.9393</v>
      </c>
      <c r="J60" s="101">
        <v>6.6532</v>
      </c>
      <c r="K60" s="101">
        <v>265.8439</v>
      </c>
      <c r="L60" s="101">
        <v>187.3635</v>
      </c>
      <c r="M60" s="101">
        <v>11.9833</v>
      </c>
      <c r="N60" s="101">
        <v>3.7349</v>
      </c>
      <c r="O60" s="101">
        <v>6.4323</v>
      </c>
      <c r="P60" s="101">
        <v>2.9148</v>
      </c>
      <c r="Q60" s="101">
        <v>2.9917</v>
      </c>
      <c r="R60" s="101">
        <v>63.2261</v>
      </c>
      <c r="S60" s="101">
        <v>10.2255</v>
      </c>
      <c r="T60" s="101">
        <v>23.8677</v>
      </c>
    </row>
    <row r="61" customHeight="1" spans="3:20">
      <c r="C61" s="103" t="s">
        <v>31</v>
      </c>
      <c r="D61" s="133" t="s">
        <v>32</v>
      </c>
      <c r="E61" s="106" t="s">
        <v>26</v>
      </c>
      <c r="F61" s="103">
        <v>120</v>
      </c>
      <c r="G61" s="106" t="s">
        <v>30</v>
      </c>
      <c r="H61" s="107">
        <f t="shared" si="2"/>
        <v>39.0415181818182</v>
      </c>
      <c r="I61" s="108">
        <f t="shared" si="3"/>
        <v>21.91046</v>
      </c>
      <c r="J61" s="107">
        <v>7.0143</v>
      </c>
      <c r="K61" s="107">
        <v>210.3521</v>
      </c>
      <c r="L61" s="107">
        <v>98.6846</v>
      </c>
      <c r="M61" s="107">
        <v>9.4936</v>
      </c>
      <c r="N61" s="107">
        <v>3.4143</v>
      </c>
      <c r="O61" s="107">
        <v>5.2512</v>
      </c>
      <c r="P61" s="107">
        <v>3.979</v>
      </c>
      <c r="Q61" s="107">
        <v>3.7211</v>
      </c>
      <c r="R61" s="107">
        <v>61.0502</v>
      </c>
      <c r="S61" s="107">
        <v>7.6263</v>
      </c>
      <c r="T61" s="107">
        <v>18.87</v>
      </c>
    </row>
    <row r="62" customHeight="1" spans="3:20">
      <c r="C62" s="114" t="s">
        <v>31</v>
      </c>
      <c r="D62" s="135" t="s">
        <v>32</v>
      </c>
      <c r="E62" s="125" t="s">
        <v>26</v>
      </c>
      <c r="F62" s="114">
        <v>30</v>
      </c>
      <c r="G62" s="116" t="s">
        <v>34</v>
      </c>
      <c r="H62" s="117">
        <f t="shared" si="2"/>
        <v>57.1711818181818</v>
      </c>
      <c r="I62" s="118">
        <f t="shared" si="3"/>
        <v>37.17666</v>
      </c>
      <c r="J62" s="117">
        <v>15.3055</v>
      </c>
      <c r="K62" s="117">
        <v>257.1164</v>
      </c>
      <c r="L62" s="117">
        <v>191.4165</v>
      </c>
      <c r="M62" s="117">
        <v>19.0644</v>
      </c>
      <c r="N62" s="117">
        <v>4.8377</v>
      </c>
      <c r="O62" s="117">
        <v>14.1066</v>
      </c>
      <c r="P62" s="117">
        <v>7.5603</v>
      </c>
      <c r="Q62" s="117">
        <v>5.3428</v>
      </c>
      <c r="R62" s="117">
        <v>66.4055</v>
      </c>
      <c r="S62" s="117">
        <v>13.4353</v>
      </c>
      <c r="T62" s="117">
        <v>34.292</v>
      </c>
    </row>
    <row r="63" customHeight="1" spans="3:20">
      <c r="C63" s="114" t="s">
        <v>31</v>
      </c>
      <c r="D63" s="135" t="s">
        <v>32</v>
      </c>
      <c r="E63" s="125" t="s">
        <v>26</v>
      </c>
      <c r="F63" s="114">
        <v>60</v>
      </c>
      <c r="G63" s="116" t="s">
        <v>34</v>
      </c>
      <c r="H63" s="117">
        <f t="shared" si="2"/>
        <v>53.2701909090909</v>
      </c>
      <c r="I63" s="118">
        <f t="shared" si="3"/>
        <v>33.74476</v>
      </c>
      <c r="J63" s="117">
        <v>11.2562</v>
      </c>
      <c r="K63" s="117">
        <v>248.5245</v>
      </c>
      <c r="L63" s="117">
        <v>185.7998</v>
      </c>
      <c r="M63" s="117">
        <v>14.8379</v>
      </c>
      <c r="N63" s="117">
        <v>4.805</v>
      </c>
      <c r="O63" s="117">
        <v>11.6775</v>
      </c>
      <c r="P63" s="117">
        <v>6.7495</v>
      </c>
      <c r="Q63" s="117">
        <v>4.1781</v>
      </c>
      <c r="R63" s="117">
        <v>63.6379</v>
      </c>
      <c r="S63" s="117">
        <v>10.0167</v>
      </c>
      <c r="T63" s="117">
        <v>24.489</v>
      </c>
    </row>
    <row r="64" customHeight="1" spans="3:20">
      <c r="C64" s="114" t="s">
        <v>31</v>
      </c>
      <c r="D64" s="135" t="s">
        <v>32</v>
      </c>
      <c r="E64" s="125" t="s">
        <v>26</v>
      </c>
      <c r="F64" s="114">
        <v>90</v>
      </c>
      <c r="G64" s="116" t="s">
        <v>34</v>
      </c>
      <c r="H64" s="117">
        <f t="shared" si="2"/>
        <v>47.1261</v>
      </c>
      <c r="I64" s="118">
        <f t="shared" si="3"/>
        <v>30.24269</v>
      </c>
      <c r="J64" s="117">
        <v>9.6538</v>
      </c>
      <c r="K64" s="117">
        <v>215.9602</v>
      </c>
      <c r="L64" s="117">
        <v>170.3976</v>
      </c>
      <c r="M64" s="117">
        <v>13.4146</v>
      </c>
      <c r="N64" s="117">
        <v>4.4363</v>
      </c>
      <c r="O64" s="117">
        <v>8.8642</v>
      </c>
      <c r="P64" s="117">
        <v>5.7729</v>
      </c>
      <c r="Q64" s="117">
        <v>3.8472</v>
      </c>
      <c r="R64" s="117">
        <v>58.4304</v>
      </c>
      <c r="S64" s="117">
        <v>11.2997</v>
      </c>
      <c r="T64" s="117">
        <v>16.3102</v>
      </c>
    </row>
    <row r="65" customHeight="1" spans="3:20">
      <c r="C65" s="137" t="s">
        <v>31</v>
      </c>
      <c r="D65" s="138" t="s">
        <v>32</v>
      </c>
      <c r="E65" s="139" t="s">
        <v>26</v>
      </c>
      <c r="F65" s="137">
        <v>120</v>
      </c>
      <c r="G65" s="140" t="s">
        <v>34</v>
      </c>
      <c r="H65" s="141">
        <f t="shared" si="2"/>
        <v>29.6719818181818</v>
      </c>
      <c r="I65" s="142">
        <f t="shared" si="3"/>
        <v>18.15344</v>
      </c>
      <c r="J65" s="141">
        <v>10.667</v>
      </c>
      <c r="K65" s="141">
        <v>144.8574</v>
      </c>
      <c r="L65" s="141">
        <v>64.7557</v>
      </c>
      <c r="M65" s="141">
        <v>11.3067</v>
      </c>
      <c r="N65" s="141">
        <v>3.5398</v>
      </c>
      <c r="O65" s="141">
        <v>7.7095</v>
      </c>
      <c r="P65" s="141">
        <v>6.3622</v>
      </c>
      <c r="Q65" s="141">
        <v>3.9579</v>
      </c>
      <c r="R65" s="141">
        <v>52.9918</v>
      </c>
      <c r="S65" s="141">
        <v>7.1158</v>
      </c>
      <c r="T65" s="141">
        <v>13.128</v>
      </c>
    </row>
  </sheetData>
  <pageMargins left="0.75" right="0.75" top="1" bottom="1" header="0.5" footer="0.5"/>
  <headerFooter/>
  <ignoredErrors>
    <ignoredError sqref="C62:T65 C5:T3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Q29"/>
  <sheetViews>
    <sheetView showGridLines="0" tabSelected="1" workbookViewId="0">
      <selection activeCell="F4" sqref="F4"/>
    </sheetView>
  </sheetViews>
  <sheetFormatPr defaultColWidth="9.23076923076923" defaultRowHeight="20" customHeight="1"/>
  <cols>
    <col min="1" max="1" width="9.23076923076923" style="1"/>
    <col min="2" max="2" width="13.9423076923077" style="1" customWidth="1"/>
    <col min="3" max="3" width="10.1923076923077" style="1" customWidth="1"/>
    <col min="4" max="4" width="11.0576923076923" style="1" customWidth="1"/>
    <col min="5" max="5" width="12.0192307692308" style="1" customWidth="1"/>
    <col min="6" max="6" width="14.25" style="1" customWidth="1"/>
    <col min="7" max="7" width="13.6153846153846" style="1" customWidth="1"/>
    <col min="8" max="8" width="9.23076923076923" style="1"/>
    <col min="9" max="9" width="8.84615384615385" style="1" customWidth="1"/>
    <col min="10" max="10" width="9.80769230769231" style="1" customWidth="1"/>
    <col min="11" max="11" width="12.6538461538462" style="1" customWidth="1"/>
    <col min="12" max="12" width="19.8653846153846" style="1" customWidth="1"/>
    <col min="13" max="13" width="9.23076923076923" style="1"/>
    <col min="14" max="14" width="10" style="1" customWidth="1"/>
    <col min="15" max="15" width="9.80769230769231" style="1" customWidth="1"/>
    <col min="16" max="16" width="20.3557692307692" style="1" customWidth="1"/>
    <col min="17" max="17" width="17.625" style="1" customWidth="1"/>
    <col min="18" max="16384" width="9.23076923076923" style="1"/>
  </cols>
  <sheetData>
    <row r="4" customHeight="1" spans="2:17">
      <c r="F4" s="1" t="s">
        <v>35</v>
      </c>
    </row>
    <row r="6" customHeight="1" spans="2:17">
      <c r="B6" s="2" t="s">
        <v>36</v>
      </c>
      <c r="C6" s="3" t="s">
        <v>1</v>
      </c>
      <c r="D6" s="4" t="s">
        <v>3</v>
      </c>
      <c r="E6" s="5" t="s">
        <v>4</v>
      </c>
      <c r="F6" s="2" t="s">
        <v>37</v>
      </c>
      <c r="G6" s="2" t="s">
        <v>38</v>
      </c>
      <c r="I6" s="6"/>
      <c r="J6" s="6"/>
      <c r="K6" s="6"/>
      <c r="L6" s="6"/>
      <c r="N6" s="6"/>
      <c r="O6" s="6"/>
      <c r="P6" s="6"/>
      <c r="Q6" s="6"/>
    </row>
    <row r="7" customHeight="1" spans="2:17">
      <c r="B7" s="1" t="s">
        <v>24</v>
      </c>
      <c r="C7" s="7" t="s">
        <v>25</v>
      </c>
      <c r="D7" s="8">
        <v>30</v>
      </c>
      <c r="E7" s="9" t="s">
        <v>27</v>
      </c>
      <c r="F7" s="6">
        <v>9.4039</v>
      </c>
      <c r="G7" s="6">
        <v>10.8223</v>
      </c>
      <c r="I7" s="6"/>
      <c r="J7" s="6"/>
      <c r="K7" s="6"/>
      <c r="L7" s="6"/>
      <c r="N7" s="6"/>
      <c r="O7" s="6"/>
      <c r="P7" s="6"/>
      <c r="Q7" s="6"/>
    </row>
    <row r="8" customHeight="1" spans="2:17">
      <c r="B8" s="1" t="s">
        <v>24</v>
      </c>
      <c r="C8" s="7" t="s">
        <v>25</v>
      </c>
      <c r="D8" s="8">
        <v>60</v>
      </c>
      <c r="E8" s="9" t="s">
        <v>27</v>
      </c>
      <c r="F8" s="6">
        <v>11.7684</v>
      </c>
      <c r="G8" s="6">
        <v>14.3691</v>
      </c>
      <c r="I8" s="6"/>
      <c r="J8" s="6"/>
      <c r="K8" s="6"/>
      <c r="L8" s="6"/>
      <c r="N8" s="6"/>
      <c r="O8" s="6"/>
      <c r="P8" s="6"/>
      <c r="Q8" s="6"/>
    </row>
    <row r="9" customHeight="1" spans="2:17">
      <c r="B9" s="1" t="s">
        <v>24</v>
      </c>
      <c r="C9" s="7" t="s">
        <v>25</v>
      </c>
      <c r="D9" s="8">
        <v>90</v>
      </c>
      <c r="E9" s="9" t="s">
        <v>27</v>
      </c>
      <c r="F9" s="6">
        <v>14.3995</v>
      </c>
      <c r="G9" s="6">
        <v>15.7793</v>
      </c>
      <c r="I9" s="6"/>
      <c r="J9" s="6"/>
      <c r="K9" s="6"/>
      <c r="L9" s="6"/>
      <c r="N9" s="6"/>
      <c r="O9" s="6"/>
      <c r="P9" s="6"/>
      <c r="Q9" s="6"/>
    </row>
    <row r="10" customHeight="1" spans="2:17">
      <c r="B10" s="1" t="s">
        <v>24</v>
      </c>
      <c r="C10" s="7" t="s">
        <v>25</v>
      </c>
      <c r="D10" s="8">
        <v>120</v>
      </c>
      <c r="E10" s="9" t="s">
        <v>27</v>
      </c>
      <c r="F10" s="6">
        <v>17.0724</v>
      </c>
      <c r="G10" s="6">
        <v>18.3906</v>
      </c>
      <c r="I10" s="6"/>
      <c r="J10" s="6"/>
      <c r="K10" s="6"/>
      <c r="L10" s="6"/>
      <c r="N10" s="6"/>
      <c r="O10" s="6"/>
      <c r="P10" s="6"/>
      <c r="Q10" s="6"/>
    </row>
    <row r="11" customHeight="1" spans="2:17">
      <c r="B11" s="10" t="s">
        <v>28</v>
      </c>
      <c r="C11" s="11" t="s">
        <v>29</v>
      </c>
      <c r="D11" s="12">
        <v>30</v>
      </c>
      <c r="E11" s="13" t="s">
        <v>30</v>
      </c>
      <c r="F11" s="10">
        <v>5.8273</v>
      </c>
      <c r="G11" s="10">
        <v>6.0566</v>
      </c>
      <c r="I11" s="6"/>
      <c r="J11" s="6"/>
      <c r="K11" s="6"/>
      <c r="L11" s="6"/>
    </row>
    <row r="12" customHeight="1" spans="2:17">
      <c r="B12" s="6" t="s">
        <v>28</v>
      </c>
      <c r="C12" s="14" t="s">
        <v>29</v>
      </c>
      <c r="D12" s="8">
        <v>60</v>
      </c>
      <c r="E12" s="9" t="s">
        <v>30</v>
      </c>
      <c r="F12" s="6">
        <v>6.3001</v>
      </c>
      <c r="G12" s="6">
        <v>6.5566</v>
      </c>
      <c r="I12" s="6"/>
      <c r="J12" s="6"/>
      <c r="K12" s="6"/>
      <c r="L12" s="6"/>
    </row>
    <row r="13" customHeight="1" spans="2:17">
      <c r="B13" s="6" t="s">
        <v>28</v>
      </c>
      <c r="C13" s="14" t="s">
        <v>29</v>
      </c>
      <c r="D13" s="8">
        <v>90</v>
      </c>
      <c r="E13" s="9" t="s">
        <v>30</v>
      </c>
      <c r="F13" s="6">
        <v>6.7539</v>
      </c>
      <c r="G13" s="6">
        <v>7.1934</v>
      </c>
      <c r="I13" s="6"/>
      <c r="J13" s="6"/>
      <c r="K13" s="6"/>
      <c r="L13" s="6"/>
    </row>
    <row r="14" customHeight="1" spans="2:17">
      <c r="B14" s="15" t="s">
        <v>28</v>
      </c>
      <c r="C14" s="16" t="s">
        <v>29</v>
      </c>
      <c r="D14" s="17">
        <v>120</v>
      </c>
      <c r="E14" s="18" t="s">
        <v>30</v>
      </c>
      <c r="F14" s="15">
        <v>7.2154</v>
      </c>
      <c r="G14" s="15">
        <v>7.8379</v>
      </c>
      <c r="I14" s="6"/>
      <c r="J14" s="6"/>
      <c r="K14" s="6"/>
      <c r="L14" s="6"/>
    </row>
    <row r="15" customHeight="1" spans="2:17">
      <c r="B15" s="6" t="s">
        <v>31</v>
      </c>
      <c r="C15" s="14" t="s">
        <v>32</v>
      </c>
      <c r="D15" s="8">
        <v>30</v>
      </c>
      <c r="E15" s="9" t="s">
        <v>30</v>
      </c>
      <c r="F15" s="6">
        <v>9.2599</v>
      </c>
      <c r="G15" s="6">
        <v>12.8301</v>
      </c>
    </row>
    <row r="16" customHeight="1" spans="2:17">
      <c r="B16" s="6" t="s">
        <v>31</v>
      </c>
      <c r="C16" s="14" t="s">
        <v>32</v>
      </c>
      <c r="D16" s="8">
        <v>60</v>
      </c>
      <c r="E16" s="9" t="s">
        <v>30</v>
      </c>
      <c r="F16" s="6">
        <v>11.6255</v>
      </c>
      <c r="G16" s="6">
        <v>18.2637</v>
      </c>
    </row>
    <row r="17" customHeight="1" spans="2:7">
      <c r="B17" s="6" t="s">
        <v>31</v>
      </c>
      <c r="C17" s="14" t="s">
        <v>32</v>
      </c>
      <c r="D17" s="8">
        <v>90</v>
      </c>
      <c r="E17" s="9" t="s">
        <v>30</v>
      </c>
      <c r="F17" s="6">
        <v>12.2071</v>
      </c>
      <c r="G17" s="6">
        <v>18.3613</v>
      </c>
    </row>
    <row r="18" customHeight="1" spans="2:7">
      <c r="B18" s="19" t="s">
        <v>31</v>
      </c>
      <c r="C18" s="20" t="s">
        <v>32</v>
      </c>
      <c r="D18" s="21">
        <v>120</v>
      </c>
      <c r="E18" s="22" t="s">
        <v>30</v>
      </c>
      <c r="F18" s="19">
        <v>12.5304</v>
      </c>
      <c r="G18" s="19">
        <v>18.041</v>
      </c>
    </row>
    <row r="21" customHeight="1" spans="2:7">
      <c r="B21" s="23" t="s">
        <v>36</v>
      </c>
      <c r="C21" s="24" t="s">
        <v>1</v>
      </c>
      <c r="D21" s="25" t="s">
        <v>3</v>
      </c>
      <c r="E21" s="26" t="s">
        <v>4</v>
      </c>
      <c r="F21" s="23" t="s">
        <v>37</v>
      </c>
      <c r="G21" s="23" t="s">
        <v>38</v>
      </c>
    </row>
    <row r="22" customHeight="1" spans="2:7">
      <c r="B22" s="6" t="s">
        <v>28</v>
      </c>
      <c r="C22" s="27" t="s">
        <v>29</v>
      </c>
      <c r="D22" s="28">
        <v>30</v>
      </c>
      <c r="E22" s="9" t="s">
        <v>34</v>
      </c>
      <c r="F22" s="6">
        <v>6.8211</v>
      </c>
      <c r="G22" s="6">
        <v>7.377</v>
      </c>
    </row>
    <row r="23" customHeight="1" spans="2:7">
      <c r="B23" s="6" t="s">
        <v>28</v>
      </c>
      <c r="C23" s="27" t="s">
        <v>29</v>
      </c>
      <c r="D23" s="28">
        <v>60</v>
      </c>
      <c r="E23" s="9" t="s">
        <v>34</v>
      </c>
      <c r="F23" s="6">
        <v>8.2775</v>
      </c>
      <c r="G23" s="6">
        <v>9.3945</v>
      </c>
    </row>
    <row r="24" customHeight="1" spans="2:7">
      <c r="B24" s="6" t="s">
        <v>28</v>
      </c>
      <c r="C24" s="27" t="s">
        <v>29</v>
      </c>
      <c r="D24" s="28">
        <v>90</v>
      </c>
      <c r="E24" s="9" t="s">
        <v>34</v>
      </c>
      <c r="F24" s="6">
        <v>9.7442</v>
      </c>
      <c r="G24" s="6">
        <v>11.0117</v>
      </c>
    </row>
    <row r="25" customHeight="1" spans="2:7">
      <c r="B25" s="15" t="s">
        <v>28</v>
      </c>
      <c r="C25" s="29" t="s">
        <v>29</v>
      </c>
      <c r="D25" s="30">
        <v>120</v>
      </c>
      <c r="E25" s="18" t="s">
        <v>34</v>
      </c>
      <c r="F25" s="15">
        <v>11.2031</v>
      </c>
      <c r="G25" s="15">
        <v>13.4141</v>
      </c>
    </row>
    <row r="26" customHeight="1" spans="2:7">
      <c r="B26" s="6" t="s">
        <v>31</v>
      </c>
      <c r="C26" s="27" t="s">
        <v>32</v>
      </c>
      <c r="D26" s="28">
        <v>30</v>
      </c>
      <c r="E26" s="9" t="s">
        <v>34</v>
      </c>
      <c r="F26" s="6">
        <v>14.3311</v>
      </c>
      <c r="G26" s="6">
        <v>23.7402</v>
      </c>
    </row>
    <row r="27" customHeight="1" spans="2:7">
      <c r="B27" s="6" t="s">
        <v>31</v>
      </c>
      <c r="C27" s="27" t="s">
        <v>32</v>
      </c>
      <c r="D27" s="28">
        <v>60</v>
      </c>
      <c r="E27" s="9" t="s">
        <v>34</v>
      </c>
      <c r="F27" s="6">
        <v>21.7596</v>
      </c>
      <c r="G27" s="6">
        <v>35.5117</v>
      </c>
    </row>
    <row r="28" customHeight="1" spans="2:7">
      <c r="B28" s="6" t="s">
        <v>31</v>
      </c>
      <c r="C28" s="27" t="s">
        <v>32</v>
      </c>
      <c r="D28" s="28">
        <v>90</v>
      </c>
      <c r="E28" s="9" t="s">
        <v>34</v>
      </c>
      <c r="F28" s="6">
        <v>27.8594</v>
      </c>
      <c r="G28" s="6">
        <v>23.6411</v>
      </c>
    </row>
    <row r="29" customHeight="1" spans="2:7">
      <c r="B29" s="19" t="s">
        <v>31</v>
      </c>
      <c r="C29" s="31" t="s">
        <v>32</v>
      </c>
      <c r="D29" s="32">
        <v>120</v>
      </c>
      <c r="E29" s="22" t="s">
        <v>34</v>
      </c>
      <c r="F29" s="19">
        <v>33.4302</v>
      </c>
      <c r="G29" s="19">
        <v>34.8496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Pi-Long KITTI</vt:lpstr>
      <vt:lpstr>Pi-Long Mem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bytedance</dc:creator>
  <cp:lastModifiedBy>WPS_1668834722</cp:lastModifiedBy>
  <dcterms:created xsi:type="dcterms:W3CDTF">2025-11-29T11:49:00Z</dcterms:created>
  <dcterms:modified xsi:type="dcterms:W3CDTF">2026-04-17T02:38:18Z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06FB508C6BF9C56A4FE6E06961518F86_43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